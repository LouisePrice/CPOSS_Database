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IV\BTXIVA\"/>
    </mc:Choice>
  </mc:AlternateContent>
  <xr:revisionPtr revIDLastSave="0" documentId="8_{AD2EDBCB-1142-4E71-8FA3-DD3699E5EB1F}" xr6:coauthVersionLast="47" xr6:coauthVersionMax="47" xr10:uidLastSave="{00000000-0000-0000-0000-000000000000}"/>
  <bookViews>
    <workbookView xWindow="-120" yWindow="-120" windowWidth="29040" windowHeight="15720" xr2:uid="{9CE8F96A-15BC-420D-8B03-0F0B186DBB19}"/>
  </bookViews>
  <sheets>
    <sheet name="BTXIVA_forxls" sheetId="1" r:id="rId1"/>
  </sheets>
  <calcPr calcId="0"/>
</workbook>
</file>

<file path=xl/calcChain.xml><?xml version="1.0" encoding="utf-8"?>
<calcChain xmlns="http://schemas.openxmlformats.org/spreadsheetml/2006/main">
  <c r="G3" i="1" l="1"/>
  <c r="G20" i="1"/>
  <c r="G25" i="1"/>
  <c r="G36" i="1"/>
  <c r="G40" i="1"/>
  <c r="G48" i="1"/>
  <c r="G49" i="1"/>
  <c r="G54" i="1"/>
  <c r="G55" i="1"/>
  <c r="G58" i="1"/>
  <c r="G59" i="1"/>
  <c r="G72" i="1"/>
  <c r="G83" i="1"/>
  <c r="G94" i="1"/>
  <c r="G110" i="1"/>
</calcChain>
</file>

<file path=xl/sharedStrings.xml><?xml version="1.0" encoding="utf-8"?>
<sst xmlns="http://schemas.openxmlformats.org/spreadsheetml/2006/main" count="362" uniqueCount="217">
  <si>
    <t>Filename</t>
  </si>
  <si>
    <t>Density 2 /gcm-3</t>
  </si>
  <si>
    <t>Lattice Energy 2 /kJmol-1</t>
  </si>
  <si>
    <t>Unit Cell Free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</si>
  <si>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</si>
  <si>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</si>
  <si>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</si>
  <si>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</si>
  <si>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</si>
  <si>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</si>
  <si>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WIDBAO_dfai3_ai3</t>
  </si>
  <si>
    <t>P21/c</t>
  </si>
  <si>
    <t>WIDBAO (Form I)</t>
  </si>
  <si>
    <t>WIDBAO_dfai7_ai7</t>
  </si>
  <si>
    <t>1.458752 1.440531</t>
  </si>
  <si>
    <t>0.705399 0.69702</t>
  </si>
  <si>
    <t>WIDBAO_c105a185_ai1</t>
  </si>
  <si>
    <t>WIDBAO_c105a195_ai129</t>
  </si>
  <si>
    <t>WIDBAO_c115a185_ai81</t>
  </si>
  <si>
    <t>WIDBAO_c125a170_ai69</t>
  </si>
  <si>
    <t>WIDBAO_c95a165_ak71</t>
  </si>
  <si>
    <t>WIDBAO_c95a185_ai133</t>
  </si>
  <si>
    <t>WIDBAO_dfcb92_cb92</t>
  </si>
  <si>
    <t>Pbca</t>
  </si>
  <si>
    <t>WIDBAO_dfcb52_cb52</t>
  </si>
  <si>
    <t>WIDBAO_dfak91_ak91</t>
  </si>
  <si>
    <t>WIDBAO_dffa111_fa111</t>
  </si>
  <si>
    <t>WIDBAO_dfam34_am34</t>
  </si>
  <si>
    <t>P21/n</t>
  </si>
  <si>
    <t>WIDBAO_dfaf31_af31</t>
  </si>
  <si>
    <t>P21</t>
  </si>
  <si>
    <t>WIDBAO_dfaz85_az85</t>
  </si>
  <si>
    <t>P212121</t>
  </si>
  <si>
    <t>WIDBAO_dfam28_am28</t>
  </si>
  <si>
    <t>WIDBAO_c105a165_ab156</t>
  </si>
  <si>
    <t>P-1</t>
  </si>
  <si>
    <t>WIDBAO_c105a165_ah86</t>
  </si>
  <si>
    <t>WIDBAO_c105a165_ai4 WIDBAO_c105a185_ai4</t>
  </si>
  <si>
    <t>1.450314 1.450314</t>
  </si>
  <si>
    <t>0.700889 0.700889</t>
  </si>
  <si>
    <t>P21/c P21/c</t>
  </si>
  <si>
    <t>WIDBAO_c105a165_aj30</t>
  </si>
  <si>
    <t>P1</t>
  </si>
  <si>
    <t>WIDBAO_c105a165_ak101</t>
  </si>
  <si>
    <t>WIDBAO_c105a165_ak16</t>
  </si>
  <si>
    <t>WIDBAO_c105a165_ak21</t>
  </si>
  <si>
    <t>WIDBAO_c105a165_ak28 WIDBAO_c105a185_ak28</t>
  </si>
  <si>
    <t>1.395440 1.443993</t>
  </si>
  <si>
    <t>0.67498 0.697378</t>
  </si>
  <si>
    <t>WIDBAO_c105a165_am105</t>
  </si>
  <si>
    <t>WIDBAO_c105a165_am41</t>
  </si>
  <si>
    <t>WIDBAO_c105a165_aq3</t>
  </si>
  <si>
    <t>WIDBAO_c105a165_aq57</t>
  </si>
  <si>
    <t>WIDBAO_c105a165_ay82</t>
  </si>
  <si>
    <t>Pca21</t>
  </si>
  <si>
    <t>WIDBAO_c105a165_cb29</t>
  </si>
  <si>
    <t>WIDBAO_c105a165_cb40</t>
  </si>
  <si>
    <t>WIDBAO_c105a165_de43</t>
  </si>
  <si>
    <t>C-1</t>
  </si>
  <si>
    <t>WIDBAO_c105a165_fc128</t>
  </si>
  <si>
    <t>WIDBAO_c105a165_fc67</t>
  </si>
  <si>
    <t>WIDBAO_c105a185_af1 WIDBAO_c95a185_af1</t>
  </si>
  <si>
    <t>1.439116 1.449473</t>
  </si>
  <si>
    <t>0.699474 0.704253</t>
  </si>
  <si>
    <t>P21 P21</t>
  </si>
  <si>
    <t>WIDBAO_c105a185_ai49</t>
  </si>
  <si>
    <t>WIDBAO_c105a185_ak120</t>
  </si>
  <si>
    <t>WIDBAO_c105a185_ak121</t>
  </si>
  <si>
    <t>WIDBAO_c105a185_ak3 WIDBAO_c85a180_ak3 WIDBAO_c95a185_ak3</t>
  </si>
  <si>
    <t>1.423996 1.450116 1.460682</t>
  </si>
  <si>
    <t>0.690302 0.704669 0.709371</t>
  </si>
  <si>
    <t>P21/c P21/c P21/c</t>
  </si>
  <si>
    <t>WIDBAO_c105a185_ak92</t>
  </si>
  <si>
    <t>WIDBAO_c105a185_am22</t>
  </si>
  <si>
    <t>WIDBAO_c105a185_am25</t>
  </si>
  <si>
    <t>WIDBAO_c105a185_am6</t>
  </si>
  <si>
    <t>WIDBAO_c105a185_aq42</t>
  </si>
  <si>
    <t>WIDBAO_c105a185_az9</t>
  </si>
  <si>
    <t>WIDBAO_c105a185_ca19</t>
  </si>
  <si>
    <t>WIDBAO_c105a185_cb35 WIDBAO_c115a185_cb35</t>
  </si>
  <si>
    <t>1.430988 1.442263</t>
  </si>
  <si>
    <t>0.694987 0.698234</t>
  </si>
  <si>
    <t>Pbca Pbca</t>
  </si>
  <si>
    <t>WIDBAO_c105a185_cc8 WIDBAO_c95a185_cc8</t>
  </si>
  <si>
    <t>1.424722 1.414732</t>
  </si>
  <si>
    <t>0.689609 0.685032</t>
  </si>
  <si>
    <t>WIDBAO_c105a185_de7</t>
  </si>
  <si>
    <t>C2/c</t>
  </si>
  <si>
    <t>WIDBAO_c105a185_fc61</t>
  </si>
  <si>
    <t>WIDBAO_c105a195_ai92</t>
  </si>
  <si>
    <t>WIDBAO_c105a195_ak10</t>
  </si>
  <si>
    <t>WIDBAO_c105a195_am3 WIDBAO_HFmin_am3</t>
  </si>
  <si>
    <t>1.463658 1.420049</t>
  </si>
  <si>
    <t>0.709199 0.688116</t>
  </si>
  <si>
    <t>P21/n P21/n</t>
  </si>
  <si>
    <t>WIDBAO_c105a195_cb14 WIDBAO_HFmin_cb14</t>
  </si>
  <si>
    <t>1.430574 1.430961</t>
  </si>
  <si>
    <t>0.694237 0.692425</t>
  </si>
  <si>
    <t>WIDBAO_c115a165_ai2</t>
  </si>
  <si>
    <t>WIDBAO_c115a165_ak148</t>
  </si>
  <si>
    <t>WIDBAO_c115a165_ak5 WIDBAO_c85a180_ak5 WIDBAO_c95a185_ak5</t>
  </si>
  <si>
    <t>1.444953 1.461210 1.456851</t>
  </si>
  <si>
    <t>0.695953 0.706308 0.70382</t>
  </si>
  <si>
    <t>WIDBAO_c115a165_am4 WIDBAO_c125a170_am4</t>
  </si>
  <si>
    <t>1.437258 1.454790</t>
  </si>
  <si>
    <t>0.697136 0.705971</t>
  </si>
  <si>
    <t>WIDBAO_c115a165_aq6</t>
  </si>
  <si>
    <t>WIDBAO_c115a165_fa18</t>
  </si>
  <si>
    <t>WIDBAO_c115a165_fc104</t>
  </si>
  <si>
    <t>WIDBAO_c115a165_fc60</t>
  </si>
  <si>
    <t>WIDBAO_c115a165_fc96</t>
  </si>
  <si>
    <t>WIDBAO_c115a185_af6</t>
  </si>
  <si>
    <t>WIDBAO_c115a185_ai135</t>
  </si>
  <si>
    <t>WIDBAO_c115a185_ai48</t>
  </si>
  <si>
    <t>WIDBAO_c115a185_ai5</t>
  </si>
  <si>
    <t>WIDBAO_c115a185_ak107</t>
  </si>
  <si>
    <t>WIDBAO_c115a185_ak123</t>
  </si>
  <si>
    <t>WIDBAO_c115a185_ak27</t>
  </si>
  <si>
    <t>WIDBAO_c115a185_ak42 WIDBAO_c125a170_ak42</t>
  </si>
  <si>
    <t>1.443286 1.424219</t>
  </si>
  <si>
    <t>0.697473 0.688724</t>
  </si>
  <si>
    <t>WIDBAO_c115a185_am12</t>
  </si>
  <si>
    <t>WIDBAO_c115a185_am150</t>
  </si>
  <si>
    <t>WIDBAO_c115a185_am21</t>
  </si>
  <si>
    <t>WIDBAO_c115a185_aq114</t>
  </si>
  <si>
    <t>WIDBAO_c115a185_aq58</t>
  </si>
  <si>
    <t>WIDBAO_c115a185_aq7</t>
  </si>
  <si>
    <t>WIDBAO_c115a185_ay95</t>
  </si>
  <si>
    <t>WIDBAO_c115a185_ca116</t>
  </si>
  <si>
    <t>WIDBAO_c115a185_cb10</t>
  </si>
  <si>
    <t>WIDBAO_c115a185_cb116</t>
  </si>
  <si>
    <t>WIDBAO_c115a185_cc22 WIDBAO_c85a180_cc22</t>
  </si>
  <si>
    <t>1.431370 1.405629</t>
  </si>
  <si>
    <t>0.692766 0.680648</t>
  </si>
  <si>
    <t>WIDBAO_c115a185_cc75</t>
  </si>
  <si>
    <t>WIDBAO_c115a185_ce52</t>
  </si>
  <si>
    <t>Pbcn</t>
  </si>
  <si>
    <t>WIDBAO_c115a185_fa39</t>
  </si>
  <si>
    <t>WIDBAO_c125a170_ab70</t>
  </si>
  <si>
    <t>WIDBAO_c125a170_af25</t>
  </si>
  <si>
    <t>WIDBAO_c125a170_ah93</t>
  </si>
  <si>
    <t>WIDBAO_c125a170_ai14</t>
  </si>
  <si>
    <t>WIDBAO_c125a170_ak34</t>
  </si>
  <si>
    <t>WIDBAO_c125a170_al57</t>
  </si>
  <si>
    <t>Pc</t>
  </si>
  <si>
    <t>WIDBAO_c125a170_am123</t>
  </si>
  <si>
    <t>WIDBAO_c125a170_am8 WIDBAO_HFmin_am8</t>
  </si>
  <si>
    <t>1.446589 1.390116</t>
  </si>
  <si>
    <t>0.701004 0.673225</t>
  </si>
  <si>
    <t>WIDBAO_c125a170_am9</t>
  </si>
  <si>
    <t>WIDBAO_c125a170_aq143</t>
  </si>
  <si>
    <t>WIDBAO_c125a170_au2</t>
  </si>
  <si>
    <t>Pna21</t>
  </si>
  <si>
    <t>WIDBAO_c125a170_ay55</t>
  </si>
  <si>
    <t>WIDBAO_c125a170_az3</t>
  </si>
  <si>
    <t>WIDBAO_c125a170_az93</t>
  </si>
  <si>
    <t>WIDBAO_c125a170_cb89</t>
  </si>
  <si>
    <t>WIDBAO_c125a170_ce5</t>
  </si>
  <si>
    <t>WIDBAO_c125a170_fa31</t>
  </si>
  <si>
    <t>WIDBAO_c125a170_fc43</t>
  </si>
  <si>
    <t>WIDBAO_c85a180_ab2</t>
  </si>
  <si>
    <t>WIDBAO_c85a180_af12</t>
  </si>
  <si>
    <t>WIDBAO_c85a180_ak18</t>
  </si>
  <si>
    <t>WIDBAO_c85a180_ak19</t>
  </si>
  <si>
    <t>WIDBAO_c85a180_am42</t>
  </si>
  <si>
    <t>WIDBAO_c85a180_fc15 WIDBAO_c95a165_fc15 WIDBAO_c95a185_fc15</t>
  </si>
  <si>
    <t>1.434966 1.437842 1.411558</t>
  </si>
  <si>
    <t>0.692123 0.693271 0.681922</t>
  </si>
  <si>
    <t>WIDBAO_c85a180_fc73</t>
  </si>
  <si>
    <t>WIDBAO_c95a165_af15</t>
  </si>
  <si>
    <t>WIDBAO_c95a165_ai86</t>
  </si>
  <si>
    <t>WIDBAO_c95a165_am24</t>
  </si>
  <si>
    <t>WIDBAO_c95a165_cb20</t>
  </si>
  <si>
    <t>WIDBAO_c95a185_ab54</t>
  </si>
  <si>
    <t>WIDBAO_c95a185_ab82</t>
  </si>
  <si>
    <t>WIDBAO_c95a185_ab89</t>
  </si>
  <si>
    <t>WIDBAO_c95a185_ai64</t>
  </si>
  <si>
    <t>WIDBAO_c95a185_ak106</t>
  </si>
  <si>
    <t>WIDBAO_c95a185_ak138</t>
  </si>
  <si>
    <t>WIDBAO_c95a185_ak37</t>
  </si>
  <si>
    <t>WIDBAO_c95a185_am48</t>
  </si>
  <si>
    <t>WIDBAO_c95a185_aq22</t>
  </si>
  <si>
    <t>WIDBAO_c95a185_az20</t>
  </si>
  <si>
    <t>WIDBAO_c95a185_ca48</t>
  </si>
  <si>
    <t>WIDBAO_c95a185_cb163</t>
  </si>
  <si>
    <t>WIDBAO_c95a185_cc85</t>
  </si>
  <si>
    <t>WIDBAO_c95a185_dc130</t>
  </si>
  <si>
    <t>WIDBAO_c95a185_fa28</t>
  </si>
  <si>
    <t>WIDBAO_c95a185_fc106</t>
  </si>
  <si>
    <t>WIDBAO_c95a185_fc127</t>
  </si>
  <si>
    <t>WIDBAO_HFmin_ab64</t>
  </si>
  <si>
    <t>WIDBAO_HFmin_af11</t>
  </si>
  <si>
    <t>WIDBAO_HFmin_af73</t>
  </si>
  <si>
    <t>WIDBAO_HFmin_ai109</t>
  </si>
  <si>
    <t>WIDBAO_HFmin_ai110</t>
  </si>
  <si>
    <t>WIDBAO_HFmin_ai122</t>
  </si>
  <si>
    <t>WIDBAO_HFmin_ai141</t>
  </si>
  <si>
    <t>WIDBAO_HFmin_ai8</t>
  </si>
  <si>
    <t>WIDBAO_HFmin_ak150</t>
  </si>
  <si>
    <t>WIDBAO_HFmin_ak15</t>
  </si>
  <si>
    <t>WIDBAO_HFmin_ak70</t>
  </si>
  <si>
    <t>WIDBAO_HFmin_am145</t>
  </si>
  <si>
    <t>WIDBAO_HFmin_am50</t>
  </si>
  <si>
    <t>WIDBAO_HFmin_aq30</t>
  </si>
  <si>
    <t>WIDBAO_HFmin_aq83</t>
  </si>
  <si>
    <t>WIDBAO_HFmin_ay87</t>
  </si>
  <si>
    <t>WIDBAO_HFmin_ba98</t>
  </si>
  <si>
    <t>P2111</t>
  </si>
  <si>
    <t>WIDBAO_HFmin_cb106</t>
  </si>
  <si>
    <t>WIDBAO_HFmin_cb111</t>
  </si>
  <si>
    <t>WIDBAO_HFmin_cb71</t>
  </si>
  <si>
    <t>WIDBAO_HFmin_cc81</t>
  </si>
  <si>
    <t>WIDBAO_HFmin_cd107</t>
  </si>
  <si>
    <t>WIDBAO_HFmin_dc112</t>
  </si>
  <si>
    <t>WIDBAO_HFmin_de93</t>
  </si>
  <si>
    <t>WIDBAO_HFmin_fc28</t>
  </si>
  <si>
    <t>WIDBAO_HFmin_fc31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</si>
</sst>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B590C-8501-433E-85D3-705CADBDF153}">
  <dimension ref="A1:J158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1.4664809999999999</v>
      </c>
      <c r="C2">
        <v>-112.306</v>
      </c>
      <c r="D2">
        <v>-133.62</v>
      </c>
      <c r="E2">
        <v>0.70951399999999998</v>
      </c>
      <c r="F2">
        <v>1.4468160000000001</v>
      </c>
      <c r="G2">
        <v>-106.03100000000001</v>
      </c>
      <c r="H2">
        <v>0.70001999999999998</v>
      </c>
      <c r="I2" t="s">
        <v>11</v>
      </c>
      <c r="J2" t="s">
        <v>12</v>
      </c>
    </row>
    <row r="3" spans="1:10" x14ac:dyDescent="0.25">
      <c r="A3" t="s">
        <v>13</v>
      </c>
      <c r="B3">
        <v>1.464801</v>
      </c>
      <c r="C3">
        <v>-112.227</v>
      </c>
      <c r="D3">
        <v>-133.57900000000001</v>
      </c>
      <c r="E3">
        <v>0.70861200000000002</v>
      </c>
      <c r="F3" t="s">
        <v>14</v>
      </c>
      <c r="G3">
        <f>-102.314 -107.627</f>
        <v>-209.94099999999997</v>
      </c>
      <c r="H3" t="s">
        <v>15</v>
      </c>
      <c r="I3" t="s">
        <v>11</v>
      </c>
      <c r="J3" t="s">
        <v>12</v>
      </c>
    </row>
    <row r="4" spans="1:10" x14ac:dyDescent="0.25">
      <c r="A4" t="s">
        <v>16</v>
      </c>
      <c r="F4">
        <v>1.465177</v>
      </c>
      <c r="G4">
        <v>-110.59099999999999</v>
      </c>
      <c r="H4">
        <v>0.70957400000000004</v>
      </c>
      <c r="I4" t="s">
        <v>11</v>
      </c>
      <c r="J4" t="s">
        <v>12</v>
      </c>
    </row>
    <row r="5" spans="1:10" x14ac:dyDescent="0.25">
      <c r="A5" t="s">
        <v>17</v>
      </c>
      <c r="F5">
        <v>1.4579340000000001</v>
      </c>
      <c r="G5">
        <v>-104.92100000000001</v>
      </c>
      <c r="H5">
        <v>0.70580100000000001</v>
      </c>
      <c r="I5" t="s">
        <v>11</v>
      </c>
      <c r="J5" t="s">
        <v>12</v>
      </c>
    </row>
    <row r="6" spans="1:10" x14ac:dyDescent="0.25">
      <c r="A6" t="s">
        <v>18</v>
      </c>
      <c r="F6">
        <v>1.4684250000000001</v>
      </c>
      <c r="G6">
        <v>-109.70399999999999</v>
      </c>
      <c r="H6">
        <v>0.71053500000000003</v>
      </c>
      <c r="I6" t="s">
        <v>11</v>
      </c>
      <c r="J6" t="s">
        <v>12</v>
      </c>
    </row>
    <row r="7" spans="1:10" x14ac:dyDescent="0.25">
      <c r="A7" t="s">
        <v>19</v>
      </c>
      <c r="F7">
        <v>1.4282919999999999</v>
      </c>
      <c r="G7">
        <v>-101.861</v>
      </c>
      <c r="H7">
        <v>0.69018500000000005</v>
      </c>
      <c r="I7" t="s">
        <v>11</v>
      </c>
      <c r="J7" t="s">
        <v>12</v>
      </c>
    </row>
    <row r="8" spans="1:10" x14ac:dyDescent="0.25">
      <c r="A8" t="s">
        <v>20</v>
      </c>
      <c r="F8">
        <v>1.4138839999999999</v>
      </c>
      <c r="G8">
        <v>-100.252</v>
      </c>
      <c r="H8">
        <v>0.68375300000000006</v>
      </c>
      <c r="I8" t="s">
        <v>11</v>
      </c>
      <c r="J8" t="s">
        <v>12</v>
      </c>
    </row>
    <row r="9" spans="1:10" x14ac:dyDescent="0.25">
      <c r="A9" t="s">
        <v>21</v>
      </c>
      <c r="F9">
        <v>1.458539</v>
      </c>
      <c r="G9">
        <v>-109.29</v>
      </c>
      <c r="H9">
        <v>0.70607900000000001</v>
      </c>
      <c r="I9" t="s">
        <v>11</v>
      </c>
      <c r="J9" t="s">
        <v>12</v>
      </c>
    </row>
    <row r="10" spans="1:10" x14ac:dyDescent="0.25">
      <c r="A10" t="s">
        <v>22</v>
      </c>
      <c r="B10">
        <v>1.436555</v>
      </c>
      <c r="C10">
        <v>-108.116</v>
      </c>
      <c r="D10">
        <v>-130.04</v>
      </c>
      <c r="E10">
        <v>0.69724600000000003</v>
      </c>
      <c r="F10">
        <v>1.447711</v>
      </c>
      <c r="G10">
        <v>-105.443</v>
      </c>
      <c r="H10">
        <v>0.70268900000000001</v>
      </c>
      <c r="I10" t="s">
        <v>23</v>
      </c>
    </row>
    <row r="11" spans="1:10" x14ac:dyDescent="0.25">
      <c r="A11" t="s">
        <v>24</v>
      </c>
      <c r="B11">
        <v>1.4291830000000001</v>
      </c>
      <c r="C11">
        <v>-107.794</v>
      </c>
      <c r="D11">
        <v>-130.15199999999999</v>
      </c>
      <c r="E11">
        <v>0.69379999999999997</v>
      </c>
      <c r="F11">
        <v>1.422145</v>
      </c>
      <c r="G11">
        <v>-106.006</v>
      </c>
      <c r="H11">
        <v>0.69070900000000002</v>
      </c>
      <c r="I11" t="s">
        <v>23</v>
      </c>
    </row>
    <row r="12" spans="1:10" x14ac:dyDescent="0.25">
      <c r="A12" t="s">
        <v>25</v>
      </c>
      <c r="B12">
        <v>1.4323429999999999</v>
      </c>
      <c r="C12">
        <v>-106.908</v>
      </c>
      <c r="D12">
        <v>-129.142</v>
      </c>
      <c r="E12">
        <v>0.694048</v>
      </c>
      <c r="F12">
        <v>1.435373</v>
      </c>
      <c r="G12">
        <v>-107.947</v>
      </c>
      <c r="H12">
        <v>0.69560599999999995</v>
      </c>
      <c r="I12" t="s">
        <v>11</v>
      </c>
    </row>
    <row r="13" spans="1:10" x14ac:dyDescent="0.25">
      <c r="A13" t="s">
        <v>26</v>
      </c>
      <c r="B13">
        <v>1.4334150000000001</v>
      </c>
      <c r="C13">
        <v>-106.107</v>
      </c>
      <c r="D13">
        <v>-129.16800000000001</v>
      </c>
      <c r="E13">
        <v>0.69639499999999999</v>
      </c>
      <c r="F13">
        <v>1.4247559999999999</v>
      </c>
      <c r="G13">
        <v>-105.193</v>
      </c>
      <c r="H13">
        <v>0.69216999999999995</v>
      </c>
      <c r="I13" t="s">
        <v>11</v>
      </c>
    </row>
    <row r="14" spans="1:10" x14ac:dyDescent="0.25">
      <c r="A14" t="s">
        <v>27</v>
      </c>
      <c r="B14">
        <v>1.44764</v>
      </c>
      <c r="C14">
        <v>-104.65900000000001</v>
      </c>
      <c r="D14">
        <v>-127.157</v>
      </c>
      <c r="E14">
        <v>0.70216999999999996</v>
      </c>
      <c r="F14">
        <v>1.457883</v>
      </c>
      <c r="G14">
        <v>-107.65300000000001</v>
      </c>
      <c r="H14">
        <v>0.707098</v>
      </c>
      <c r="I14" t="s">
        <v>28</v>
      </c>
    </row>
    <row r="15" spans="1:10" x14ac:dyDescent="0.25">
      <c r="A15" t="s">
        <v>29</v>
      </c>
      <c r="B15">
        <v>1.4470350000000001</v>
      </c>
      <c r="C15">
        <v>-104.35299999999999</v>
      </c>
      <c r="D15">
        <v>-126.92700000000001</v>
      </c>
      <c r="E15">
        <v>0.70303300000000002</v>
      </c>
      <c r="I15" t="s">
        <v>30</v>
      </c>
    </row>
    <row r="16" spans="1:10" x14ac:dyDescent="0.25">
      <c r="A16" t="s">
        <v>31</v>
      </c>
      <c r="B16">
        <v>1.419065</v>
      </c>
      <c r="C16">
        <v>-103.539</v>
      </c>
      <c r="D16">
        <v>-127.508</v>
      </c>
      <c r="E16">
        <v>0.68666700000000003</v>
      </c>
      <c r="F16">
        <v>1.4281999999999999</v>
      </c>
      <c r="G16">
        <v>-104.64100000000001</v>
      </c>
      <c r="H16">
        <v>0.69184900000000005</v>
      </c>
      <c r="I16" t="s">
        <v>32</v>
      </c>
    </row>
    <row r="17" spans="1:9" x14ac:dyDescent="0.25">
      <c r="A17" t="s">
        <v>33</v>
      </c>
      <c r="B17">
        <v>1.418369</v>
      </c>
      <c r="C17">
        <v>-102.645</v>
      </c>
      <c r="D17">
        <v>-126.907</v>
      </c>
      <c r="E17">
        <v>0.68731699999999996</v>
      </c>
      <c r="F17">
        <v>1.422051</v>
      </c>
      <c r="G17">
        <v>-104.39700000000001</v>
      </c>
      <c r="H17">
        <v>0.68931100000000001</v>
      </c>
      <c r="I17" t="s">
        <v>11</v>
      </c>
    </row>
    <row r="18" spans="1:9" x14ac:dyDescent="0.25">
      <c r="A18" t="s">
        <v>34</v>
      </c>
      <c r="F18">
        <v>1.423298</v>
      </c>
      <c r="G18">
        <v>-101.52200000000001</v>
      </c>
      <c r="H18">
        <v>0.690299</v>
      </c>
      <c r="I18" t="s">
        <v>35</v>
      </c>
    </row>
    <row r="19" spans="1:9" x14ac:dyDescent="0.25">
      <c r="A19" t="s">
        <v>36</v>
      </c>
      <c r="F19">
        <v>1.416798</v>
      </c>
      <c r="G19">
        <v>-100.06399999999999</v>
      </c>
      <c r="H19">
        <v>0.68660699999999997</v>
      </c>
      <c r="I19" t="s">
        <v>30</v>
      </c>
    </row>
    <row r="20" spans="1:9" x14ac:dyDescent="0.25">
      <c r="A20" t="s">
        <v>37</v>
      </c>
      <c r="F20" t="s">
        <v>38</v>
      </c>
      <c r="G20">
        <f>-105.72 -104.64</f>
        <v>-210.36</v>
      </c>
      <c r="H20" t="s">
        <v>39</v>
      </c>
      <c r="I20" t="s">
        <v>40</v>
      </c>
    </row>
    <row r="21" spans="1:9" x14ac:dyDescent="0.25">
      <c r="A21" t="s">
        <v>41</v>
      </c>
      <c r="F21">
        <v>1.416334</v>
      </c>
      <c r="G21">
        <v>-100.845</v>
      </c>
      <c r="H21">
        <v>0.68778300000000003</v>
      </c>
      <c r="I21" t="s">
        <v>42</v>
      </c>
    </row>
    <row r="22" spans="1:9" x14ac:dyDescent="0.25">
      <c r="A22" t="s">
        <v>43</v>
      </c>
      <c r="F22">
        <v>1.4212880000000001</v>
      </c>
      <c r="G22">
        <v>-104.41200000000001</v>
      </c>
      <c r="H22">
        <v>0.68860299999999997</v>
      </c>
      <c r="I22" t="s">
        <v>11</v>
      </c>
    </row>
    <row r="23" spans="1:9" x14ac:dyDescent="0.25">
      <c r="A23" t="s">
        <v>44</v>
      </c>
      <c r="F23">
        <v>1.439813</v>
      </c>
      <c r="G23">
        <v>-102.09</v>
      </c>
      <c r="H23">
        <v>0.69260299999999997</v>
      </c>
      <c r="I23" t="s">
        <v>11</v>
      </c>
    </row>
    <row r="24" spans="1:9" x14ac:dyDescent="0.25">
      <c r="A24" t="s">
        <v>45</v>
      </c>
      <c r="F24">
        <v>1.433108</v>
      </c>
      <c r="G24">
        <v>-100.33199999999999</v>
      </c>
      <c r="H24">
        <v>0.69215099999999996</v>
      </c>
      <c r="I24" t="s">
        <v>11</v>
      </c>
    </row>
    <row r="25" spans="1:9" x14ac:dyDescent="0.25">
      <c r="A25" t="s">
        <v>46</v>
      </c>
      <c r="F25" t="s">
        <v>47</v>
      </c>
      <c r="G25">
        <f>-98.27 -103.43</f>
        <v>-201.7</v>
      </c>
      <c r="H25" t="s">
        <v>48</v>
      </c>
      <c r="I25" t="s">
        <v>40</v>
      </c>
    </row>
    <row r="26" spans="1:9" x14ac:dyDescent="0.25">
      <c r="A26" t="s">
        <v>49</v>
      </c>
      <c r="F26">
        <v>1.415362</v>
      </c>
      <c r="G26">
        <v>-100.182</v>
      </c>
      <c r="H26">
        <v>0.685473</v>
      </c>
      <c r="I26" t="s">
        <v>11</v>
      </c>
    </row>
    <row r="27" spans="1:9" x14ac:dyDescent="0.25">
      <c r="A27" t="s">
        <v>50</v>
      </c>
      <c r="F27">
        <v>1.4374640000000001</v>
      </c>
      <c r="G27">
        <v>-102.44499999999999</v>
      </c>
      <c r="H27">
        <v>0.69747599999999998</v>
      </c>
      <c r="I27" t="s">
        <v>28</v>
      </c>
    </row>
    <row r="28" spans="1:9" x14ac:dyDescent="0.25">
      <c r="A28" t="s">
        <v>51</v>
      </c>
      <c r="F28">
        <v>1.428731</v>
      </c>
      <c r="G28">
        <v>-103.283</v>
      </c>
      <c r="H28">
        <v>0.69213400000000003</v>
      </c>
      <c r="I28" t="s">
        <v>32</v>
      </c>
    </row>
    <row r="29" spans="1:9" x14ac:dyDescent="0.25">
      <c r="A29" t="s">
        <v>52</v>
      </c>
      <c r="F29">
        <v>1.4007829999999999</v>
      </c>
      <c r="G29">
        <v>-100.26600000000001</v>
      </c>
      <c r="H29">
        <v>0.67757999999999996</v>
      </c>
      <c r="I29" t="s">
        <v>32</v>
      </c>
    </row>
    <row r="30" spans="1:9" x14ac:dyDescent="0.25">
      <c r="A30" t="s">
        <v>53</v>
      </c>
      <c r="F30">
        <v>1.3768469999999999</v>
      </c>
      <c r="G30">
        <v>-100.39</v>
      </c>
      <c r="H30">
        <v>0.66873199999999999</v>
      </c>
      <c r="I30" t="s">
        <v>54</v>
      </c>
    </row>
    <row r="31" spans="1:9" x14ac:dyDescent="0.25">
      <c r="A31" t="s">
        <v>55</v>
      </c>
      <c r="F31">
        <v>1.4198120000000001</v>
      </c>
      <c r="G31">
        <v>-99.98</v>
      </c>
      <c r="H31">
        <v>0.68682900000000002</v>
      </c>
      <c r="I31" t="s">
        <v>23</v>
      </c>
    </row>
    <row r="32" spans="1:9" x14ac:dyDescent="0.25">
      <c r="A32" t="s">
        <v>56</v>
      </c>
      <c r="F32">
        <v>1.4117820000000001</v>
      </c>
      <c r="G32">
        <v>-102.541</v>
      </c>
      <c r="H32">
        <v>0.68550699999999998</v>
      </c>
      <c r="I32" t="s">
        <v>23</v>
      </c>
    </row>
    <row r="33" spans="1:9" x14ac:dyDescent="0.25">
      <c r="A33" t="s">
        <v>57</v>
      </c>
      <c r="F33">
        <v>1.4435800000000001</v>
      </c>
      <c r="G33">
        <v>-103.964</v>
      </c>
      <c r="H33">
        <v>0.698295</v>
      </c>
      <c r="I33" t="s">
        <v>58</v>
      </c>
    </row>
    <row r="34" spans="1:9" x14ac:dyDescent="0.25">
      <c r="A34" t="s">
        <v>59</v>
      </c>
      <c r="F34">
        <v>1.417729</v>
      </c>
      <c r="G34">
        <v>-100.833</v>
      </c>
      <c r="H34">
        <v>0.68679900000000005</v>
      </c>
      <c r="I34" t="s">
        <v>11</v>
      </c>
    </row>
    <row r="35" spans="1:9" x14ac:dyDescent="0.25">
      <c r="A35" t="s">
        <v>60</v>
      </c>
      <c r="F35">
        <v>1.37635</v>
      </c>
      <c r="G35">
        <v>-100.99299999999999</v>
      </c>
      <c r="H35">
        <v>0.66726200000000002</v>
      </c>
      <c r="I35" t="s">
        <v>11</v>
      </c>
    </row>
    <row r="36" spans="1:9" x14ac:dyDescent="0.25">
      <c r="A36" t="s">
        <v>61</v>
      </c>
      <c r="F36" t="s">
        <v>62</v>
      </c>
      <c r="G36">
        <f>-103.314 -105.33</f>
        <v>-208.64400000000001</v>
      </c>
      <c r="H36" t="s">
        <v>63</v>
      </c>
      <c r="I36" t="s">
        <v>64</v>
      </c>
    </row>
    <row r="37" spans="1:9" x14ac:dyDescent="0.25">
      <c r="A37" t="s">
        <v>65</v>
      </c>
      <c r="F37">
        <v>1.44737</v>
      </c>
      <c r="G37">
        <v>-107.334</v>
      </c>
      <c r="H37">
        <v>0.70145000000000002</v>
      </c>
      <c r="I37" t="s">
        <v>11</v>
      </c>
    </row>
    <row r="38" spans="1:9" x14ac:dyDescent="0.25">
      <c r="A38" t="s">
        <v>66</v>
      </c>
      <c r="F38">
        <v>1.428234</v>
      </c>
      <c r="G38">
        <v>-102.224</v>
      </c>
      <c r="H38">
        <v>0.69142300000000001</v>
      </c>
      <c r="I38" t="s">
        <v>11</v>
      </c>
    </row>
    <row r="39" spans="1:9" x14ac:dyDescent="0.25">
      <c r="A39" t="s">
        <v>67</v>
      </c>
      <c r="F39">
        <v>1.398245</v>
      </c>
      <c r="G39">
        <v>-102.45399999999999</v>
      </c>
      <c r="H39">
        <v>0.67867299999999997</v>
      </c>
      <c r="I39" t="s">
        <v>11</v>
      </c>
    </row>
    <row r="40" spans="1:9" x14ac:dyDescent="0.25">
      <c r="A40" t="s">
        <v>68</v>
      </c>
      <c r="F40" t="s">
        <v>69</v>
      </c>
      <c r="G40">
        <f>-103.217 -103.859 -106.543</f>
        <v>-313.61900000000003</v>
      </c>
      <c r="H40" t="s">
        <v>70</v>
      </c>
      <c r="I40" t="s">
        <v>71</v>
      </c>
    </row>
    <row r="41" spans="1:9" x14ac:dyDescent="0.25">
      <c r="A41" t="s">
        <v>72</v>
      </c>
      <c r="F41">
        <v>1.4362239999999999</v>
      </c>
      <c r="G41">
        <v>-100.983</v>
      </c>
      <c r="H41">
        <v>0.69189800000000001</v>
      </c>
      <c r="I41" t="s">
        <v>11</v>
      </c>
    </row>
    <row r="42" spans="1:9" x14ac:dyDescent="0.25">
      <c r="A42" t="s">
        <v>73</v>
      </c>
      <c r="F42">
        <v>1.469482</v>
      </c>
      <c r="G42">
        <v>-108.1</v>
      </c>
      <c r="H42">
        <v>0.71257499999999996</v>
      </c>
      <c r="I42" t="s">
        <v>28</v>
      </c>
    </row>
    <row r="43" spans="1:9" x14ac:dyDescent="0.25">
      <c r="A43" t="s">
        <v>74</v>
      </c>
      <c r="F43">
        <v>1.424518</v>
      </c>
      <c r="G43">
        <v>-101.23</v>
      </c>
      <c r="H43">
        <v>0.68882399999999999</v>
      </c>
      <c r="I43" t="s">
        <v>11</v>
      </c>
    </row>
    <row r="44" spans="1:9" x14ac:dyDescent="0.25">
      <c r="A44" t="s">
        <v>75</v>
      </c>
      <c r="F44">
        <v>1.4001729999999999</v>
      </c>
      <c r="G44">
        <v>-100.815</v>
      </c>
      <c r="H44">
        <v>0.67793499999999995</v>
      </c>
      <c r="I44" t="s">
        <v>28</v>
      </c>
    </row>
    <row r="45" spans="1:9" x14ac:dyDescent="0.25">
      <c r="A45" t="s">
        <v>76</v>
      </c>
      <c r="F45">
        <v>1.4210929999999999</v>
      </c>
      <c r="G45">
        <v>-102.029</v>
      </c>
      <c r="H45">
        <v>0.68815499999999996</v>
      </c>
      <c r="I45" t="s">
        <v>32</v>
      </c>
    </row>
    <row r="46" spans="1:9" x14ac:dyDescent="0.25">
      <c r="A46" t="s">
        <v>77</v>
      </c>
      <c r="F46">
        <v>1.4347749999999999</v>
      </c>
      <c r="G46">
        <v>-103.036</v>
      </c>
      <c r="H46">
        <v>0.69603800000000005</v>
      </c>
      <c r="I46" t="s">
        <v>32</v>
      </c>
    </row>
    <row r="47" spans="1:9" x14ac:dyDescent="0.25">
      <c r="A47" t="s">
        <v>78</v>
      </c>
      <c r="F47">
        <v>1.413027</v>
      </c>
      <c r="G47">
        <v>-101.03700000000001</v>
      </c>
      <c r="H47">
        <v>0.68553399999999998</v>
      </c>
      <c r="I47" t="s">
        <v>35</v>
      </c>
    </row>
    <row r="48" spans="1:9" x14ac:dyDescent="0.25">
      <c r="A48" t="s">
        <v>79</v>
      </c>
      <c r="F48" t="s">
        <v>80</v>
      </c>
      <c r="G48">
        <f>-105.468 -100.924</f>
        <v>-206.392</v>
      </c>
      <c r="H48" t="s">
        <v>81</v>
      </c>
      <c r="I48" t="s">
        <v>82</v>
      </c>
    </row>
    <row r="49" spans="1:9" x14ac:dyDescent="0.25">
      <c r="A49" t="s">
        <v>83</v>
      </c>
      <c r="F49" t="s">
        <v>84</v>
      </c>
      <c r="G49">
        <f>-104.643 -103.188</f>
        <v>-207.83100000000002</v>
      </c>
      <c r="H49" t="s">
        <v>85</v>
      </c>
      <c r="I49" t="s">
        <v>82</v>
      </c>
    </row>
    <row r="50" spans="1:9" x14ac:dyDescent="0.25">
      <c r="A50" t="s">
        <v>86</v>
      </c>
      <c r="F50">
        <v>1.4034500000000001</v>
      </c>
      <c r="G50">
        <v>-100.67400000000001</v>
      </c>
      <c r="H50">
        <v>0.68125500000000005</v>
      </c>
      <c r="I50" t="s">
        <v>87</v>
      </c>
    </row>
    <row r="51" spans="1:9" x14ac:dyDescent="0.25">
      <c r="A51" t="s">
        <v>88</v>
      </c>
      <c r="F51">
        <v>1.4272579999999999</v>
      </c>
      <c r="G51">
        <v>-100.93300000000001</v>
      </c>
      <c r="H51">
        <v>0.68835999999999997</v>
      </c>
      <c r="I51" t="s">
        <v>11</v>
      </c>
    </row>
    <row r="52" spans="1:9" x14ac:dyDescent="0.25">
      <c r="A52" t="s">
        <v>89</v>
      </c>
      <c r="F52">
        <v>1.422174</v>
      </c>
      <c r="G52">
        <v>-100.56399999999999</v>
      </c>
      <c r="H52">
        <v>0.68877299999999997</v>
      </c>
      <c r="I52" t="s">
        <v>11</v>
      </c>
    </row>
    <row r="53" spans="1:9" x14ac:dyDescent="0.25">
      <c r="A53" t="s">
        <v>90</v>
      </c>
      <c r="F53">
        <v>1.4547779999999999</v>
      </c>
      <c r="G53">
        <v>-103.24299999999999</v>
      </c>
      <c r="H53">
        <v>0.70558699999999996</v>
      </c>
      <c r="I53" t="s">
        <v>11</v>
      </c>
    </row>
    <row r="54" spans="1:9" x14ac:dyDescent="0.25">
      <c r="A54" t="s">
        <v>91</v>
      </c>
      <c r="F54" t="s">
        <v>92</v>
      </c>
      <c r="G54">
        <f>-103.381 -100.818</f>
        <v>-204.19900000000001</v>
      </c>
      <c r="H54" t="s">
        <v>93</v>
      </c>
      <c r="I54" t="s">
        <v>94</v>
      </c>
    </row>
    <row r="55" spans="1:9" x14ac:dyDescent="0.25">
      <c r="A55" t="s">
        <v>95</v>
      </c>
      <c r="F55" t="s">
        <v>96</v>
      </c>
      <c r="G55">
        <f>-100.69 -103.027</f>
        <v>-203.71699999999998</v>
      </c>
      <c r="H55" t="s">
        <v>97</v>
      </c>
      <c r="I55" t="s">
        <v>82</v>
      </c>
    </row>
    <row r="56" spans="1:9" x14ac:dyDescent="0.25">
      <c r="A56" t="s">
        <v>98</v>
      </c>
      <c r="F56">
        <v>1.4291419999999999</v>
      </c>
      <c r="G56">
        <v>-105.621</v>
      </c>
      <c r="H56">
        <v>0.69245000000000001</v>
      </c>
      <c r="I56" t="s">
        <v>11</v>
      </c>
    </row>
    <row r="57" spans="1:9" x14ac:dyDescent="0.25">
      <c r="A57" t="s">
        <v>99</v>
      </c>
      <c r="F57">
        <v>1.443279</v>
      </c>
      <c r="G57">
        <v>-103.569</v>
      </c>
      <c r="H57">
        <v>0.69635499999999995</v>
      </c>
      <c r="I57" t="s">
        <v>11</v>
      </c>
    </row>
    <row r="58" spans="1:9" x14ac:dyDescent="0.25">
      <c r="A58" t="s">
        <v>100</v>
      </c>
      <c r="F58" t="s">
        <v>101</v>
      </c>
      <c r="G58">
        <f>-103.878 -103.709 -104.664</f>
        <v>-312.25099999999998</v>
      </c>
      <c r="H58" t="s">
        <v>102</v>
      </c>
      <c r="I58" t="s">
        <v>71</v>
      </c>
    </row>
    <row r="59" spans="1:9" x14ac:dyDescent="0.25">
      <c r="A59" t="s">
        <v>103</v>
      </c>
      <c r="F59" t="s">
        <v>104</v>
      </c>
      <c r="G59">
        <f>-102.252 -101.09</f>
        <v>-203.34199999999998</v>
      </c>
      <c r="H59" t="s">
        <v>105</v>
      </c>
      <c r="I59" t="s">
        <v>94</v>
      </c>
    </row>
    <row r="60" spans="1:9" x14ac:dyDescent="0.25">
      <c r="A60" t="s">
        <v>106</v>
      </c>
      <c r="F60">
        <v>1.4384209999999999</v>
      </c>
      <c r="G60">
        <v>-103.553</v>
      </c>
      <c r="H60">
        <v>0.69717200000000001</v>
      </c>
      <c r="I60" t="s">
        <v>32</v>
      </c>
    </row>
    <row r="61" spans="1:9" x14ac:dyDescent="0.25">
      <c r="A61" t="s">
        <v>107</v>
      </c>
      <c r="F61">
        <v>1.423219</v>
      </c>
      <c r="G61">
        <v>-102.595</v>
      </c>
      <c r="H61">
        <v>0.68740900000000005</v>
      </c>
      <c r="I61" t="s">
        <v>11</v>
      </c>
    </row>
    <row r="62" spans="1:9" x14ac:dyDescent="0.25">
      <c r="A62" t="s">
        <v>108</v>
      </c>
      <c r="F62">
        <v>1.42743</v>
      </c>
      <c r="G62">
        <v>-102.146</v>
      </c>
      <c r="H62">
        <v>0.689276</v>
      </c>
      <c r="I62" t="s">
        <v>11</v>
      </c>
    </row>
    <row r="63" spans="1:9" x14ac:dyDescent="0.25">
      <c r="A63" t="s">
        <v>109</v>
      </c>
      <c r="F63">
        <v>1.3796919999999999</v>
      </c>
      <c r="G63">
        <v>-102.107</v>
      </c>
      <c r="H63">
        <v>0.66849400000000003</v>
      </c>
      <c r="I63" t="s">
        <v>11</v>
      </c>
    </row>
    <row r="64" spans="1:9" x14ac:dyDescent="0.25">
      <c r="A64" t="s">
        <v>110</v>
      </c>
      <c r="F64">
        <v>1.44312</v>
      </c>
      <c r="G64">
        <v>-103.465</v>
      </c>
      <c r="H64">
        <v>0.69627399999999995</v>
      </c>
      <c r="I64" t="s">
        <v>11</v>
      </c>
    </row>
    <row r="65" spans="1:9" x14ac:dyDescent="0.25">
      <c r="A65" t="s">
        <v>111</v>
      </c>
      <c r="F65">
        <v>1.4225589999999999</v>
      </c>
      <c r="G65">
        <v>-99.831999999999994</v>
      </c>
      <c r="H65">
        <v>0.69138999999999995</v>
      </c>
      <c r="I65" t="s">
        <v>30</v>
      </c>
    </row>
    <row r="66" spans="1:9" x14ac:dyDescent="0.25">
      <c r="A66" t="s">
        <v>112</v>
      </c>
      <c r="F66">
        <v>1.446134</v>
      </c>
      <c r="G66">
        <v>-101.767</v>
      </c>
      <c r="H66">
        <v>0.69628999999999996</v>
      </c>
      <c r="I66" t="s">
        <v>11</v>
      </c>
    </row>
    <row r="67" spans="1:9" x14ac:dyDescent="0.25">
      <c r="A67" t="s">
        <v>113</v>
      </c>
      <c r="F67">
        <v>1.4016329999999999</v>
      </c>
      <c r="G67">
        <v>-100.36</v>
      </c>
      <c r="H67">
        <v>0.67822300000000002</v>
      </c>
      <c r="I67" t="s">
        <v>11</v>
      </c>
    </row>
    <row r="68" spans="1:9" x14ac:dyDescent="0.25">
      <c r="A68" t="s">
        <v>114</v>
      </c>
      <c r="F68">
        <v>1.435476</v>
      </c>
      <c r="G68">
        <v>-100.955</v>
      </c>
      <c r="H68">
        <v>0.69312799999999997</v>
      </c>
      <c r="I68" t="s">
        <v>11</v>
      </c>
    </row>
    <row r="69" spans="1:9" x14ac:dyDescent="0.25">
      <c r="A69" t="s">
        <v>115</v>
      </c>
      <c r="F69">
        <v>1.4237979999999999</v>
      </c>
      <c r="G69">
        <v>-102.533</v>
      </c>
      <c r="H69">
        <v>0.69091899999999995</v>
      </c>
      <c r="I69" t="s">
        <v>11</v>
      </c>
    </row>
    <row r="70" spans="1:9" x14ac:dyDescent="0.25">
      <c r="A70" t="s">
        <v>116</v>
      </c>
      <c r="F70">
        <v>1.4529350000000001</v>
      </c>
      <c r="G70">
        <v>-107.589</v>
      </c>
      <c r="H70">
        <v>0.70439300000000005</v>
      </c>
      <c r="I70" t="s">
        <v>11</v>
      </c>
    </row>
    <row r="71" spans="1:9" x14ac:dyDescent="0.25">
      <c r="A71" t="s">
        <v>117</v>
      </c>
      <c r="F71">
        <v>1.431044</v>
      </c>
      <c r="G71">
        <v>-100.175</v>
      </c>
      <c r="H71">
        <v>0.69171199999999999</v>
      </c>
      <c r="I71" t="s">
        <v>11</v>
      </c>
    </row>
    <row r="72" spans="1:9" x14ac:dyDescent="0.25">
      <c r="A72" t="s">
        <v>118</v>
      </c>
      <c r="F72" t="s">
        <v>119</v>
      </c>
      <c r="G72">
        <f>-102.911 -100.109</f>
        <v>-203.01999999999998</v>
      </c>
      <c r="H72" t="s">
        <v>120</v>
      </c>
      <c r="I72" t="s">
        <v>40</v>
      </c>
    </row>
    <row r="73" spans="1:9" x14ac:dyDescent="0.25">
      <c r="A73" t="s">
        <v>121</v>
      </c>
      <c r="F73">
        <v>1.426169</v>
      </c>
      <c r="G73">
        <v>-100.43</v>
      </c>
      <c r="H73">
        <v>0.68982299999999996</v>
      </c>
      <c r="I73" t="s">
        <v>11</v>
      </c>
    </row>
    <row r="74" spans="1:9" x14ac:dyDescent="0.25">
      <c r="A74" t="s">
        <v>122</v>
      </c>
      <c r="F74">
        <v>1.4748220000000001</v>
      </c>
      <c r="G74">
        <v>-107.90300000000001</v>
      </c>
      <c r="H74">
        <v>0.71477900000000005</v>
      </c>
      <c r="I74" t="s">
        <v>28</v>
      </c>
    </row>
    <row r="75" spans="1:9" x14ac:dyDescent="0.25">
      <c r="A75" t="s">
        <v>123</v>
      </c>
      <c r="F75">
        <v>1.4069449999999999</v>
      </c>
      <c r="G75">
        <v>-100.783</v>
      </c>
      <c r="H75">
        <v>0.68156000000000005</v>
      </c>
      <c r="I75" t="s">
        <v>28</v>
      </c>
    </row>
    <row r="76" spans="1:9" x14ac:dyDescent="0.25">
      <c r="A76" t="s">
        <v>124</v>
      </c>
      <c r="F76">
        <v>1.4407669999999999</v>
      </c>
      <c r="G76">
        <v>-102.879</v>
      </c>
      <c r="H76">
        <v>0.69852800000000004</v>
      </c>
      <c r="I76" t="s">
        <v>32</v>
      </c>
    </row>
    <row r="77" spans="1:9" x14ac:dyDescent="0.25">
      <c r="A77" t="s">
        <v>125</v>
      </c>
      <c r="F77">
        <v>1.3793550000000001</v>
      </c>
      <c r="G77">
        <v>-99.923000000000002</v>
      </c>
      <c r="H77">
        <v>0.66587700000000005</v>
      </c>
      <c r="I77" t="s">
        <v>32</v>
      </c>
    </row>
    <row r="78" spans="1:9" x14ac:dyDescent="0.25">
      <c r="A78" t="s">
        <v>126</v>
      </c>
      <c r="F78">
        <v>1.4301280000000001</v>
      </c>
      <c r="G78">
        <v>-101.018</v>
      </c>
      <c r="H78">
        <v>0.69227300000000003</v>
      </c>
      <c r="I78" t="s">
        <v>32</v>
      </c>
    </row>
    <row r="79" spans="1:9" x14ac:dyDescent="0.25">
      <c r="A79" t="s">
        <v>127</v>
      </c>
      <c r="F79">
        <v>1.3880189999999999</v>
      </c>
      <c r="G79">
        <v>-100.149</v>
      </c>
      <c r="H79">
        <v>0.67399299999999995</v>
      </c>
      <c r="I79" t="s">
        <v>54</v>
      </c>
    </row>
    <row r="80" spans="1:9" x14ac:dyDescent="0.25">
      <c r="A80" t="s">
        <v>128</v>
      </c>
      <c r="F80">
        <v>1.413589</v>
      </c>
      <c r="G80">
        <v>-100.636</v>
      </c>
      <c r="H80">
        <v>0.68713100000000005</v>
      </c>
      <c r="I80" t="s">
        <v>35</v>
      </c>
    </row>
    <row r="81" spans="1:9" x14ac:dyDescent="0.25">
      <c r="A81" t="s">
        <v>129</v>
      </c>
      <c r="F81">
        <v>1.4245479999999999</v>
      </c>
      <c r="G81">
        <v>-103.57899999999999</v>
      </c>
      <c r="H81">
        <v>0.69195200000000001</v>
      </c>
      <c r="I81" t="s">
        <v>23</v>
      </c>
    </row>
    <row r="82" spans="1:9" x14ac:dyDescent="0.25">
      <c r="A82" t="s">
        <v>130</v>
      </c>
      <c r="F82">
        <v>1.4079999999999999</v>
      </c>
      <c r="G82">
        <v>-100.16200000000001</v>
      </c>
      <c r="H82">
        <v>0.682419</v>
      </c>
      <c r="I82" t="s">
        <v>23</v>
      </c>
    </row>
    <row r="83" spans="1:9" x14ac:dyDescent="0.25">
      <c r="A83" t="s">
        <v>131</v>
      </c>
      <c r="F83" t="s">
        <v>132</v>
      </c>
      <c r="G83">
        <f>-104.016 -100.889</f>
        <v>-204.905</v>
      </c>
      <c r="H83" t="s">
        <v>133</v>
      </c>
      <c r="I83" t="s">
        <v>82</v>
      </c>
    </row>
    <row r="84" spans="1:9" x14ac:dyDescent="0.25">
      <c r="A84" t="s">
        <v>134</v>
      </c>
      <c r="F84">
        <v>1.3844479999999999</v>
      </c>
      <c r="G84">
        <v>-101.093</v>
      </c>
      <c r="H84">
        <v>0.67034700000000003</v>
      </c>
      <c r="I84" t="s">
        <v>23</v>
      </c>
    </row>
    <row r="85" spans="1:9" x14ac:dyDescent="0.25">
      <c r="A85" t="s">
        <v>135</v>
      </c>
      <c r="F85">
        <v>1.37093</v>
      </c>
      <c r="G85">
        <v>-100.96599999999999</v>
      </c>
      <c r="H85">
        <v>0.66276900000000005</v>
      </c>
      <c r="I85" t="s">
        <v>136</v>
      </c>
    </row>
    <row r="86" spans="1:9" x14ac:dyDescent="0.25">
      <c r="A86" t="s">
        <v>137</v>
      </c>
      <c r="F86">
        <v>1.42679</v>
      </c>
      <c r="G86">
        <v>-102.678</v>
      </c>
      <c r="H86">
        <v>0.68979000000000001</v>
      </c>
      <c r="I86" t="s">
        <v>11</v>
      </c>
    </row>
    <row r="87" spans="1:9" x14ac:dyDescent="0.25">
      <c r="A87" t="s">
        <v>138</v>
      </c>
      <c r="F87">
        <v>1.417192</v>
      </c>
      <c r="G87">
        <v>-100.298</v>
      </c>
      <c r="H87">
        <v>0.68841600000000003</v>
      </c>
      <c r="I87" t="s">
        <v>35</v>
      </c>
    </row>
    <row r="88" spans="1:9" x14ac:dyDescent="0.25">
      <c r="A88" t="s">
        <v>139</v>
      </c>
      <c r="F88">
        <v>1.4245969999999999</v>
      </c>
      <c r="G88">
        <v>-100.682</v>
      </c>
      <c r="H88">
        <v>0.690249</v>
      </c>
      <c r="I88" t="s">
        <v>30</v>
      </c>
    </row>
    <row r="89" spans="1:9" x14ac:dyDescent="0.25">
      <c r="A89" t="s">
        <v>140</v>
      </c>
      <c r="F89">
        <v>1.3622099999999999</v>
      </c>
      <c r="G89">
        <v>-100.896</v>
      </c>
      <c r="H89">
        <v>0.66191100000000003</v>
      </c>
      <c r="I89" t="s">
        <v>30</v>
      </c>
    </row>
    <row r="90" spans="1:9" x14ac:dyDescent="0.25">
      <c r="A90" t="s">
        <v>141</v>
      </c>
      <c r="F90">
        <v>1.412175</v>
      </c>
      <c r="G90">
        <v>-100.913</v>
      </c>
      <c r="H90">
        <v>0.68308800000000003</v>
      </c>
      <c r="I90" t="s">
        <v>11</v>
      </c>
    </row>
    <row r="91" spans="1:9" x14ac:dyDescent="0.25">
      <c r="A91" t="s">
        <v>142</v>
      </c>
      <c r="F91">
        <v>1.439254</v>
      </c>
      <c r="G91">
        <v>-105.91200000000001</v>
      </c>
      <c r="H91">
        <v>0.69713499999999995</v>
      </c>
      <c r="I91" t="s">
        <v>11</v>
      </c>
    </row>
    <row r="92" spans="1:9" x14ac:dyDescent="0.25">
      <c r="A92" t="s">
        <v>143</v>
      </c>
      <c r="F92">
        <v>1.431084</v>
      </c>
      <c r="G92">
        <v>-101.991</v>
      </c>
      <c r="H92">
        <v>0.69608199999999998</v>
      </c>
      <c r="I92" t="s">
        <v>144</v>
      </c>
    </row>
    <row r="93" spans="1:9" x14ac:dyDescent="0.25">
      <c r="A93" t="s">
        <v>145</v>
      </c>
      <c r="F93">
        <v>1.3834679999999999</v>
      </c>
      <c r="G93">
        <v>-102.288</v>
      </c>
      <c r="H93">
        <v>0.668624</v>
      </c>
      <c r="I93" t="s">
        <v>28</v>
      </c>
    </row>
    <row r="94" spans="1:9" x14ac:dyDescent="0.25">
      <c r="A94" t="s">
        <v>146</v>
      </c>
      <c r="F94" t="s">
        <v>147</v>
      </c>
      <c r="G94">
        <f>-103.029 -101.741</f>
        <v>-204.76999999999998</v>
      </c>
      <c r="H94" t="s">
        <v>148</v>
      </c>
      <c r="I94" t="s">
        <v>94</v>
      </c>
    </row>
    <row r="95" spans="1:9" x14ac:dyDescent="0.25">
      <c r="A95" t="s">
        <v>149</v>
      </c>
      <c r="F95">
        <v>1.406587</v>
      </c>
      <c r="G95">
        <v>-101.791</v>
      </c>
      <c r="H95">
        <v>0.68154800000000004</v>
      </c>
      <c r="I95" t="s">
        <v>28</v>
      </c>
    </row>
    <row r="96" spans="1:9" x14ac:dyDescent="0.25">
      <c r="A96" t="s">
        <v>150</v>
      </c>
      <c r="F96">
        <v>1.413152</v>
      </c>
      <c r="G96">
        <v>-101.09</v>
      </c>
      <c r="H96">
        <v>0.68336699999999995</v>
      </c>
      <c r="I96" t="s">
        <v>32</v>
      </c>
    </row>
    <row r="97" spans="1:9" x14ac:dyDescent="0.25">
      <c r="A97" t="s">
        <v>151</v>
      </c>
      <c r="F97">
        <v>1.4163300000000001</v>
      </c>
      <c r="G97">
        <v>-100.65600000000001</v>
      </c>
      <c r="H97">
        <v>0.68698700000000001</v>
      </c>
      <c r="I97" t="s">
        <v>152</v>
      </c>
    </row>
    <row r="98" spans="1:9" x14ac:dyDescent="0.25">
      <c r="A98" t="s">
        <v>153</v>
      </c>
      <c r="F98">
        <v>1.39994</v>
      </c>
      <c r="G98">
        <v>-101.71899999999999</v>
      </c>
      <c r="H98">
        <v>0.67977500000000002</v>
      </c>
      <c r="I98" t="s">
        <v>54</v>
      </c>
    </row>
    <row r="99" spans="1:9" x14ac:dyDescent="0.25">
      <c r="A99" t="s">
        <v>154</v>
      </c>
      <c r="F99">
        <v>1.433244</v>
      </c>
      <c r="G99">
        <v>-100.30800000000001</v>
      </c>
      <c r="H99">
        <v>0.69450400000000001</v>
      </c>
      <c r="I99" t="s">
        <v>32</v>
      </c>
    </row>
    <row r="100" spans="1:9" x14ac:dyDescent="0.25">
      <c r="A100" t="s">
        <v>155</v>
      </c>
      <c r="F100">
        <v>1.4226110000000001</v>
      </c>
      <c r="G100">
        <v>-100.486</v>
      </c>
      <c r="H100">
        <v>0.68972599999999995</v>
      </c>
      <c r="I100" t="s">
        <v>32</v>
      </c>
    </row>
    <row r="101" spans="1:9" x14ac:dyDescent="0.25">
      <c r="A101" t="s">
        <v>156</v>
      </c>
      <c r="F101">
        <v>1.412453</v>
      </c>
      <c r="G101">
        <v>-100.4</v>
      </c>
      <c r="H101">
        <v>0.68540400000000001</v>
      </c>
      <c r="I101" t="s">
        <v>23</v>
      </c>
    </row>
    <row r="102" spans="1:9" x14ac:dyDescent="0.25">
      <c r="A102" t="s">
        <v>157</v>
      </c>
      <c r="F102">
        <v>1.392609</v>
      </c>
      <c r="G102">
        <v>-101.074</v>
      </c>
      <c r="H102">
        <v>0.67395899999999997</v>
      </c>
      <c r="I102" t="s">
        <v>136</v>
      </c>
    </row>
    <row r="103" spans="1:9" x14ac:dyDescent="0.25">
      <c r="A103" t="s">
        <v>158</v>
      </c>
      <c r="F103">
        <v>1.4336580000000001</v>
      </c>
      <c r="G103">
        <v>-103.003</v>
      </c>
      <c r="H103">
        <v>0.69450000000000001</v>
      </c>
      <c r="I103" t="s">
        <v>11</v>
      </c>
    </row>
    <row r="104" spans="1:9" x14ac:dyDescent="0.25">
      <c r="A104" t="s">
        <v>159</v>
      </c>
      <c r="F104">
        <v>1.4477640000000001</v>
      </c>
      <c r="G104">
        <v>-103.97199999999999</v>
      </c>
      <c r="H104">
        <v>0.69769499999999995</v>
      </c>
      <c r="I104" t="s">
        <v>11</v>
      </c>
    </row>
    <row r="105" spans="1:9" x14ac:dyDescent="0.25">
      <c r="A105" t="s">
        <v>160</v>
      </c>
      <c r="F105">
        <v>1.414077</v>
      </c>
      <c r="G105">
        <v>-101.49299999999999</v>
      </c>
      <c r="H105">
        <v>0.68726200000000004</v>
      </c>
      <c r="I105" t="s">
        <v>35</v>
      </c>
    </row>
    <row r="106" spans="1:9" x14ac:dyDescent="0.25">
      <c r="A106" t="s">
        <v>161</v>
      </c>
      <c r="F106">
        <v>1.452172</v>
      </c>
      <c r="G106">
        <v>-104.70699999999999</v>
      </c>
      <c r="H106">
        <v>0.70286999999999999</v>
      </c>
      <c r="I106" t="s">
        <v>30</v>
      </c>
    </row>
    <row r="107" spans="1:9" x14ac:dyDescent="0.25">
      <c r="A107" t="s">
        <v>162</v>
      </c>
      <c r="F107">
        <v>1.444061</v>
      </c>
      <c r="G107">
        <v>-103.04</v>
      </c>
      <c r="H107">
        <v>0.698631</v>
      </c>
      <c r="I107" t="s">
        <v>11</v>
      </c>
    </row>
    <row r="108" spans="1:9" x14ac:dyDescent="0.25">
      <c r="A108" t="s">
        <v>163</v>
      </c>
      <c r="F108">
        <v>1.416893</v>
      </c>
      <c r="G108">
        <v>-103.68899999999999</v>
      </c>
      <c r="H108">
        <v>0.68716100000000002</v>
      </c>
      <c r="I108" t="s">
        <v>11</v>
      </c>
    </row>
    <row r="109" spans="1:9" x14ac:dyDescent="0.25">
      <c r="A109" t="s">
        <v>164</v>
      </c>
      <c r="F109">
        <v>1.409832</v>
      </c>
      <c r="G109">
        <v>-99.638999999999996</v>
      </c>
      <c r="H109">
        <v>0.68398999999999999</v>
      </c>
      <c r="I109" t="s">
        <v>28</v>
      </c>
    </row>
    <row r="110" spans="1:9" x14ac:dyDescent="0.25">
      <c r="A110" t="s">
        <v>165</v>
      </c>
      <c r="F110" t="s">
        <v>166</v>
      </c>
      <c r="G110">
        <f>-101.686 -101.235 -100.134</f>
        <v>-303.05500000000001</v>
      </c>
      <c r="H110" t="s">
        <v>167</v>
      </c>
      <c r="I110" t="s">
        <v>71</v>
      </c>
    </row>
    <row r="111" spans="1:9" x14ac:dyDescent="0.25">
      <c r="A111" t="s">
        <v>168</v>
      </c>
      <c r="F111">
        <v>1.38852</v>
      </c>
      <c r="G111">
        <v>-101.095</v>
      </c>
      <c r="H111">
        <v>0.67262100000000002</v>
      </c>
      <c r="I111" t="s">
        <v>28</v>
      </c>
    </row>
    <row r="112" spans="1:9" x14ac:dyDescent="0.25">
      <c r="A112" t="s">
        <v>169</v>
      </c>
      <c r="F112">
        <v>1.43228</v>
      </c>
      <c r="G112">
        <v>-99.998000000000005</v>
      </c>
      <c r="H112">
        <v>0.693554</v>
      </c>
      <c r="I112" t="s">
        <v>30</v>
      </c>
    </row>
    <row r="113" spans="1:9" x14ac:dyDescent="0.25">
      <c r="A113" t="s">
        <v>170</v>
      </c>
      <c r="F113">
        <v>1.4117310000000001</v>
      </c>
      <c r="G113">
        <v>-100.699</v>
      </c>
      <c r="H113">
        <v>0.68392399999999998</v>
      </c>
      <c r="I113" t="s">
        <v>11</v>
      </c>
    </row>
    <row r="114" spans="1:9" x14ac:dyDescent="0.25">
      <c r="A114" t="s">
        <v>171</v>
      </c>
      <c r="F114">
        <v>1.4348179999999999</v>
      </c>
      <c r="G114">
        <v>-100.98399999999999</v>
      </c>
      <c r="H114">
        <v>0.69669000000000003</v>
      </c>
      <c r="I114" t="s">
        <v>28</v>
      </c>
    </row>
    <row r="115" spans="1:9" x14ac:dyDescent="0.25">
      <c r="A115" t="s">
        <v>172</v>
      </c>
      <c r="F115">
        <v>1.418579</v>
      </c>
      <c r="G115">
        <v>-101.911</v>
      </c>
      <c r="H115">
        <v>0.68878600000000001</v>
      </c>
      <c r="I115" t="s">
        <v>23</v>
      </c>
    </row>
    <row r="116" spans="1:9" x14ac:dyDescent="0.25">
      <c r="A116" t="s">
        <v>173</v>
      </c>
      <c r="F116">
        <v>1.41124</v>
      </c>
      <c r="G116">
        <v>-102.11199999999999</v>
      </c>
      <c r="H116">
        <v>0.68485799999999997</v>
      </c>
      <c r="I116" t="s">
        <v>35</v>
      </c>
    </row>
    <row r="117" spans="1:9" x14ac:dyDescent="0.25">
      <c r="A117" t="s">
        <v>174</v>
      </c>
      <c r="F117">
        <v>1.3710290000000001</v>
      </c>
      <c r="G117">
        <v>-99.846000000000004</v>
      </c>
      <c r="H117">
        <v>0.666964</v>
      </c>
      <c r="I117" t="s">
        <v>35</v>
      </c>
    </row>
    <row r="118" spans="1:9" x14ac:dyDescent="0.25">
      <c r="A118" t="s">
        <v>175</v>
      </c>
      <c r="F118">
        <v>1.411327</v>
      </c>
      <c r="G118">
        <v>-102.218</v>
      </c>
      <c r="H118">
        <v>0.68519200000000002</v>
      </c>
      <c r="I118" t="s">
        <v>35</v>
      </c>
    </row>
    <row r="119" spans="1:9" x14ac:dyDescent="0.25">
      <c r="A119" t="s">
        <v>176</v>
      </c>
      <c r="F119">
        <v>1.374349</v>
      </c>
      <c r="G119">
        <v>-101.253</v>
      </c>
      <c r="H119">
        <v>0.66557200000000005</v>
      </c>
      <c r="I119" t="s">
        <v>11</v>
      </c>
    </row>
    <row r="120" spans="1:9" x14ac:dyDescent="0.25">
      <c r="A120" t="s">
        <v>177</v>
      </c>
      <c r="F120">
        <v>1.4360630000000001</v>
      </c>
      <c r="G120">
        <v>-104.18300000000001</v>
      </c>
      <c r="H120">
        <v>0.69600300000000004</v>
      </c>
      <c r="I120" t="s">
        <v>11</v>
      </c>
    </row>
    <row r="121" spans="1:9" x14ac:dyDescent="0.25">
      <c r="A121" t="s">
        <v>178</v>
      </c>
      <c r="F121">
        <v>1.438124</v>
      </c>
      <c r="G121">
        <v>-103.72499999999999</v>
      </c>
      <c r="H121">
        <v>0.69485799999999998</v>
      </c>
      <c r="I121" t="s">
        <v>11</v>
      </c>
    </row>
    <row r="122" spans="1:9" x14ac:dyDescent="0.25">
      <c r="A122" t="s">
        <v>179</v>
      </c>
      <c r="F122">
        <v>1.4099379999999999</v>
      </c>
      <c r="G122">
        <v>-104.16800000000001</v>
      </c>
      <c r="H122">
        <v>0.68395799999999995</v>
      </c>
      <c r="I122" t="s">
        <v>11</v>
      </c>
    </row>
    <row r="123" spans="1:9" x14ac:dyDescent="0.25">
      <c r="A123" t="s">
        <v>180</v>
      </c>
      <c r="F123">
        <v>1.4222129999999999</v>
      </c>
      <c r="G123">
        <v>-100.76900000000001</v>
      </c>
      <c r="H123">
        <v>0.68774100000000005</v>
      </c>
      <c r="I123" t="s">
        <v>11</v>
      </c>
    </row>
    <row r="124" spans="1:9" x14ac:dyDescent="0.25">
      <c r="A124" t="s">
        <v>181</v>
      </c>
      <c r="F124">
        <v>1.4036580000000001</v>
      </c>
      <c r="G124">
        <v>-100.922</v>
      </c>
      <c r="H124">
        <v>0.67947599999999997</v>
      </c>
      <c r="I124" t="s">
        <v>32</v>
      </c>
    </row>
    <row r="125" spans="1:9" x14ac:dyDescent="0.25">
      <c r="A125" t="s">
        <v>182</v>
      </c>
      <c r="F125">
        <v>1.423886</v>
      </c>
      <c r="G125">
        <v>-101.202</v>
      </c>
      <c r="H125">
        <v>0.68772900000000003</v>
      </c>
      <c r="I125" t="s">
        <v>32</v>
      </c>
    </row>
    <row r="126" spans="1:9" x14ac:dyDescent="0.25">
      <c r="A126" t="s">
        <v>183</v>
      </c>
      <c r="F126">
        <v>1.411116</v>
      </c>
      <c r="G126">
        <v>-99.923000000000002</v>
      </c>
      <c r="H126">
        <v>0.68473899999999999</v>
      </c>
      <c r="I126" t="s">
        <v>35</v>
      </c>
    </row>
    <row r="127" spans="1:9" x14ac:dyDescent="0.25">
      <c r="A127" t="s">
        <v>184</v>
      </c>
      <c r="F127">
        <v>1.4392149999999999</v>
      </c>
      <c r="G127">
        <v>-106.044</v>
      </c>
      <c r="H127">
        <v>0.69868399999999997</v>
      </c>
      <c r="I127" t="s">
        <v>23</v>
      </c>
    </row>
    <row r="128" spans="1:9" x14ac:dyDescent="0.25">
      <c r="A128" t="s">
        <v>185</v>
      </c>
      <c r="F128">
        <v>1.435325</v>
      </c>
      <c r="G128">
        <v>-99.555000000000007</v>
      </c>
      <c r="H128">
        <v>0.69648500000000002</v>
      </c>
      <c r="I128" t="s">
        <v>23</v>
      </c>
    </row>
    <row r="129" spans="1:9" x14ac:dyDescent="0.25">
      <c r="A129" t="s">
        <v>186</v>
      </c>
      <c r="F129">
        <v>1.40408</v>
      </c>
      <c r="G129">
        <v>-100.97799999999999</v>
      </c>
      <c r="H129">
        <v>0.68114600000000003</v>
      </c>
      <c r="I129" t="s">
        <v>87</v>
      </c>
    </row>
    <row r="130" spans="1:9" x14ac:dyDescent="0.25">
      <c r="A130" t="s">
        <v>187</v>
      </c>
      <c r="F130">
        <v>1.398908</v>
      </c>
      <c r="G130">
        <v>-99.968000000000004</v>
      </c>
      <c r="H130">
        <v>0.679037</v>
      </c>
      <c r="I130" t="s">
        <v>11</v>
      </c>
    </row>
    <row r="131" spans="1:9" x14ac:dyDescent="0.25">
      <c r="A131" t="s">
        <v>188</v>
      </c>
      <c r="F131">
        <v>1.433438</v>
      </c>
      <c r="G131">
        <v>-102.435</v>
      </c>
      <c r="H131">
        <v>0.69128500000000004</v>
      </c>
      <c r="I131" t="s">
        <v>11</v>
      </c>
    </row>
    <row r="132" spans="1:9" x14ac:dyDescent="0.25">
      <c r="A132" t="s">
        <v>189</v>
      </c>
      <c r="F132">
        <v>1.421611</v>
      </c>
      <c r="G132">
        <v>-101.925</v>
      </c>
      <c r="H132">
        <v>0.68855200000000005</v>
      </c>
      <c r="I132" t="s">
        <v>11</v>
      </c>
    </row>
    <row r="133" spans="1:9" x14ac:dyDescent="0.25">
      <c r="A133" t="s">
        <v>190</v>
      </c>
      <c r="F133">
        <v>1.4183319999999999</v>
      </c>
      <c r="G133">
        <v>-103.041</v>
      </c>
      <c r="H133">
        <v>0.68945900000000004</v>
      </c>
      <c r="I133" t="s">
        <v>35</v>
      </c>
    </row>
    <row r="134" spans="1:9" x14ac:dyDescent="0.25">
      <c r="A134" t="s">
        <v>191</v>
      </c>
      <c r="F134">
        <v>1.402021</v>
      </c>
      <c r="G134">
        <v>-100.318</v>
      </c>
      <c r="H134">
        <v>0.67773300000000003</v>
      </c>
      <c r="I134" t="s">
        <v>30</v>
      </c>
    </row>
    <row r="135" spans="1:9" x14ac:dyDescent="0.25">
      <c r="A135" t="s">
        <v>192</v>
      </c>
      <c r="F135">
        <v>1.4272530000000001</v>
      </c>
      <c r="G135">
        <v>-103.10899999999999</v>
      </c>
      <c r="H135">
        <v>0.69341900000000001</v>
      </c>
      <c r="I135" t="s">
        <v>30</v>
      </c>
    </row>
    <row r="136" spans="1:9" x14ac:dyDescent="0.25">
      <c r="A136" t="s">
        <v>193</v>
      </c>
      <c r="F136">
        <v>1.37785</v>
      </c>
      <c r="G136">
        <v>-101.133</v>
      </c>
      <c r="H136">
        <v>0.66759299999999999</v>
      </c>
      <c r="I136" t="s">
        <v>11</v>
      </c>
    </row>
    <row r="137" spans="1:9" x14ac:dyDescent="0.25">
      <c r="A137" t="s">
        <v>194</v>
      </c>
      <c r="F137">
        <v>1.4151659999999999</v>
      </c>
      <c r="G137">
        <v>-101.172</v>
      </c>
      <c r="H137">
        <v>0.68445</v>
      </c>
      <c r="I137" t="s">
        <v>11</v>
      </c>
    </row>
    <row r="138" spans="1:9" x14ac:dyDescent="0.25">
      <c r="A138" t="s">
        <v>195</v>
      </c>
      <c r="F138">
        <v>1.3780840000000001</v>
      </c>
      <c r="G138">
        <v>-101.07299999999999</v>
      </c>
      <c r="H138">
        <v>0.66679900000000003</v>
      </c>
      <c r="I138" t="s">
        <v>11</v>
      </c>
    </row>
    <row r="139" spans="1:9" x14ac:dyDescent="0.25">
      <c r="A139" t="s">
        <v>196</v>
      </c>
      <c r="F139">
        <v>1.3928290000000001</v>
      </c>
      <c r="G139">
        <v>-102.53100000000001</v>
      </c>
      <c r="H139">
        <v>0.67632700000000001</v>
      </c>
      <c r="I139" t="s">
        <v>11</v>
      </c>
    </row>
    <row r="140" spans="1:9" x14ac:dyDescent="0.25">
      <c r="A140" t="s">
        <v>197</v>
      </c>
      <c r="F140">
        <v>1.427975</v>
      </c>
      <c r="G140">
        <v>-103.15600000000001</v>
      </c>
      <c r="H140">
        <v>0.69059599999999999</v>
      </c>
      <c r="I140" t="s">
        <v>11</v>
      </c>
    </row>
    <row r="141" spans="1:9" x14ac:dyDescent="0.25">
      <c r="A141" t="s">
        <v>198</v>
      </c>
      <c r="F141">
        <v>1.432126</v>
      </c>
      <c r="G141">
        <v>-102.529</v>
      </c>
      <c r="H141">
        <v>0.69359499999999996</v>
      </c>
      <c r="I141" t="s">
        <v>11</v>
      </c>
    </row>
    <row r="142" spans="1:9" x14ac:dyDescent="0.25">
      <c r="A142" t="s">
        <v>199</v>
      </c>
      <c r="F142">
        <v>1.4430940000000001</v>
      </c>
      <c r="G142">
        <v>-104.18899999999999</v>
      </c>
      <c r="H142">
        <v>0.69444399999999995</v>
      </c>
      <c r="I142" t="s">
        <v>11</v>
      </c>
    </row>
    <row r="143" spans="1:9" x14ac:dyDescent="0.25">
      <c r="A143" t="s">
        <v>200</v>
      </c>
      <c r="F143">
        <v>1.3565990000000001</v>
      </c>
      <c r="G143">
        <v>-100.25700000000001</v>
      </c>
      <c r="H143">
        <v>0.65323799999999999</v>
      </c>
      <c r="I143" t="s">
        <v>11</v>
      </c>
    </row>
    <row r="144" spans="1:9" x14ac:dyDescent="0.25">
      <c r="A144" t="s">
        <v>201</v>
      </c>
      <c r="F144">
        <v>1.4266779999999999</v>
      </c>
      <c r="G144">
        <v>-103.279</v>
      </c>
      <c r="H144">
        <v>0.69057199999999996</v>
      </c>
      <c r="I144" t="s">
        <v>11</v>
      </c>
    </row>
    <row r="145" spans="1:9" x14ac:dyDescent="0.25">
      <c r="A145" t="s">
        <v>202</v>
      </c>
      <c r="F145">
        <v>1.427692</v>
      </c>
      <c r="G145">
        <v>-100.76600000000001</v>
      </c>
      <c r="H145">
        <v>0.69205099999999997</v>
      </c>
      <c r="I145" t="s">
        <v>28</v>
      </c>
    </row>
    <row r="146" spans="1:9" x14ac:dyDescent="0.25">
      <c r="A146" t="s">
        <v>203</v>
      </c>
      <c r="F146">
        <v>1.3977660000000001</v>
      </c>
      <c r="G146">
        <v>-101.92400000000001</v>
      </c>
      <c r="H146">
        <v>0.67573300000000003</v>
      </c>
      <c r="I146" t="s">
        <v>32</v>
      </c>
    </row>
    <row r="147" spans="1:9" x14ac:dyDescent="0.25">
      <c r="A147" t="s">
        <v>204</v>
      </c>
      <c r="F147">
        <v>1.363021</v>
      </c>
      <c r="G147">
        <v>-100.428</v>
      </c>
      <c r="H147">
        <v>0.65777699999999995</v>
      </c>
      <c r="I147" t="s">
        <v>32</v>
      </c>
    </row>
    <row r="148" spans="1:9" x14ac:dyDescent="0.25">
      <c r="A148" t="s">
        <v>205</v>
      </c>
      <c r="F148">
        <v>1.3778649999999999</v>
      </c>
      <c r="G148">
        <v>-102.16200000000001</v>
      </c>
      <c r="H148">
        <v>0.66914499999999999</v>
      </c>
      <c r="I148" t="s">
        <v>54</v>
      </c>
    </row>
    <row r="149" spans="1:9" x14ac:dyDescent="0.25">
      <c r="A149" t="s">
        <v>206</v>
      </c>
      <c r="F149">
        <v>1.4282189999999999</v>
      </c>
      <c r="G149">
        <v>-103.251</v>
      </c>
      <c r="H149">
        <v>0.69244600000000001</v>
      </c>
      <c r="I149" t="s">
        <v>207</v>
      </c>
    </row>
    <row r="150" spans="1:9" x14ac:dyDescent="0.25">
      <c r="A150" t="s">
        <v>208</v>
      </c>
      <c r="F150">
        <v>1.399151</v>
      </c>
      <c r="G150">
        <v>-101.681</v>
      </c>
      <c r="H150">
        <v>0.67832899999999996</v>
      </c>
      <c r="I150" t="s">
        <v>23</v>
      </c>
    </row>
    <row r="151" spans="1:9" x14ac:dyDescent="0.25">
      <c r="A151" t="s">
        <v>209</v>
      </c>
      <c r="F151">
        <v>1.3785829999999999</v>
      </c>
      <c r="G151">
        <v>-101.593</v>
      </c>
      <c r="H151">
        <v>0.66826300000000005</v>
      </c>
      <c r="I151" t="s">
        <v>23</v>
      </c>
    </row>
    <row r="152" spans="1:9" x14ac:dyDescent="0.25">
      <c r="A152" t="s">
        <v>210</v>
      </c>
      <c r="F152">
        <v>1.38879</v>
      </c>
      <c r="G152">
        <v>-100.727</v>
      </c>
      <c r="H152">
        <v>0.67309399999999997</v>
      </c>
      <c r="I152" t="s">
        <v>23</v>
      </c>
    </row>
    <row r="153" spans="1:9" x14ac:dyDescent="0.25">
      <c r="A153" t="s">
        <v>211</v>
      </c>
      <c r="F153">
        <v>1.413208</v>
      </c>
      <c r="G153">
        <v>-103.67</v>
      </c>
      <c r="H153">
        <v>0.68333900000000003</v>
      </c>
      <c r="I153" t="s">
        <v>23</v>
      </c>
    </row>
    <row r="154" spans="1:9" x14ac:dyDescent="0.25">
      <c r="A154" t="s">
        <v>212</v>
      </c>
      <c r="F154">
        <v>1.3618490000000001</v>
      </c>
      <c r="G154">
        <v>-102.111</v>
      </c>
      <c r="H154">
        <v>0.65831899999999999</v>
      </c>
      <c r="I154" t="s">
        <v>136</v>
      </c>
    </row>
    <row r="155" spans="1:9" x14ac:dyDescent="0.25">
      <c r="A155" t="s">
        <v>213</v>
      </c>
      <c r="F155">
        <v>1.4362900000000001</v>
      </c>
      <c r="G155">
        <v>-104.19</v>
      </c>
      <c r="H155">
        <v>0.694581</v>
      </c>
      <c r="I155" t="s">
        <v>58</v>
      </c>
    </row>
    <row r="156" spans="1:9" x14ac:dyDescent="0.25">
      <c r="A156" t="s">
        <v>214</v>
      </c>
      <c r="F156">
        <v>1.3892</v>
      </c>
      <c r="G156">
        <v>-101.627</v>
      </c>
      <c r="H156">
        <v>0.67392700000000005</v>
      </c>
      <c r="I156" t="s">
        <v>87</v>
      </c>
    </row>
    <row r="157" spans="1:9" x14ac:dyDescent="0.25">
      <c r="A157" t="s">
        <v>215</v>
      </c>
      <c r="F157">
        <v>1.3725609999999999</v>
      </c>
      <c r="G157">
        <v>-102.36799999999999</v>
      </c>
      <c r="H157">
        <v>0.66478499999999996</v>
      </c>
      <c r="I157" t="s">
        <v>28</v>
      </c>
    </row>
    <row r="158" spans="1:9" x14ac:dyDescent="0.25">
      <c r="A158" t="s">
        <v>216</v>
      </c>
      <c r="F158">
        <v>1.39174</v>
      </c>
      <c r="G158">
        <v>-100.325</v>
      </c>
      <c r="H158">
        <v>0.67459100000000005</v>
      </c>
      <c r="I15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BTXIVA_forxls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2026-03-18T15:08:13Z</dcterms:created>
  <dcterms:modified xsi:type="dcterms:W3CDTF">2026-03-18T15:08:13Z</dcterms:modified>
</cp:coreProperties>
</file>