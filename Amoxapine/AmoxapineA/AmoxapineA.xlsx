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Amoxapine\AmoxapineA\"/>
    </mc:Choice>
  </mc:AlternateContent>
  <xr:revisionPtr revIDLastSave="0" documentId="8_{397A9FB6-8378-4430-81AA-8E70E21D41BA}" xr6:coauthVersionLast="47" xr6:coauthVersionMax="47" xr10:uidLastSave="{00000000-0000-0000-0000-000000000000}"/>
  <bookViews>
    <workbookView xWindow="-120" yWindow="-120" windowWidth="29040" windowHeight="15720" xr2:uid="{61FEC500-D2A3-4267-86BF-31DA839168D3}"/>
  </bookViews>
  <sheets>
    <sheet name="AmoxapineA_forxls" sheetId="1" r:id="rId1"/>
  </sheets>
  <calcPr calcId="0"/>
</workbook>
</file>

<file path=xl/calcChain.xml><?xml version="1.0" encoding="utf-8"?>
<calcChain xmlns="http://schemas.openxmlformats.org/spreadsheetml/2006/main">
  <c r="C14" i="1" l="1"/>
  <c r="D14" i="1"/>
  <c r="C17" i="1"/>
  <c r="D17" i="1"/>
  <c r="C18" i="1"/>
  <c r="D18" i="1"/>
  <c r="C26" i="1"/>
  <c r="D26" i="1"/>
  <c r="C30" i="1"/>
  <c r="D30" i="1"/>
  <c r="C43" i="1"/>
  <c r="D43" i="1"/>
  <c r="C50" i="1"/>
  <c r="D50" i="1"/>
  <c r="C54" i="1"/>
  <c r="D54" i="1"/>
  <c r="C77" i="1"/>
  <c r="D77" i="1"/>
  <c r="C83" i="1"/>
  <c r="D83" i="1"/>
  <c r="C88" i="1"/>
  <c r="D88" i="1"/>
  <c r="C97" i="1"/>
  <c r="D97" i="1"/>
  <c r="C113" i="1"/>
  <c r="D113" i="1"/>
  <c r="C129" i="1"/>
  <c r="D129" i="1"/>
  <c r="C147" i="1"/>
  <c r="D147" i="1"/>
  <c r="C149" i="1"/>
  <c r="D149" i="1"/>
  <c r="C152" i="1"/>
  <c r="D152" i="1"/>
  <c r="C156" i="1"/>
  <c r="D156" i="1"/>
  <c r="C163" i="1"/>
  <c r="D163" i="1"/>
  <c r="C174" i="1"/>
  <c r="D174" i="1"/>
  <c r="C175" i="1"/>
  <c r="D175" i="1"/>
  <c r="C178" i="1"/>
  <c r="D178" i="1"/>
  <c r="C183" i="1"/>
  <c r="D183" i="1"/>
  <c r="C188" i="1"/>
  <c r="D188" i="1"/>
  <c r="C191" i="1"/>
  <c r="D191" i="1"/>
  <c r="C195" i="1"/>
  <c r="D195" i="1"/>
  <c r="C215" i="1"/>
  <c r="D215" i="1"/>
  <c r="C217" i="1"/>
  <c r="D217" i="1"/>
  <c r="C218" i="1"/>
  <c r="D218" i="1"/>
  <c r="C234" i="1"/>
  <c r="D234" i="1"/>
  <c r="C241" i="1"/>
  <c r="D241" i="1"/>
  <c r="C243" i="1"/>
  <c r="D243" i="1"/>
  <c r="C254" i="1"/>
  <c r="D254" i="1"/>
  <c r="C264" i="1"/>
  <c r="D264" i="1"/>
  <c r="C266" i="1"/>
  <c r="D266" i="1"/>
  <c r="C272" i="1"/>
  <c r="D272" i="1"/>
  <c r="C277" i="1"/>
  <c r="D277" i="1"/>
  <c r="C282" i="1"/>
  <c r="D282" i="1"/>
  <c r="C341" i="1"/>
  <c r="D341" i="1"/>
  <c r="C342" i="1"/>
  <c r="D342" i="1"/>
  <c r="C344" i="1"/>
  <c r="D344" i="1"/>
  <c r="C376" i="1"/>
  <c r="D376" i="1"/>
  <c r="C379" i="1"/>
  <c r="D379" i="1"/>
  <c r="C384" i="1"/>
  <c r="C395" i="1"/>
  <c r="D395" i="1"/>
  <c r="C396" i="1"/>
  <c r="D396" i="1"/>
  <c r="C400" i="1"/>
  <c r="D400" i="1"/>
  <c r="C411" i="1"/>
  <c r="D411" i="1"/>
  <c r="C419" i="1"/>
  <c r="D419" i="1"/>
  <c r="C420" i="1"/>
  <c r="D420" i="1"/>
  <c r="C435" i="1"/>
  <c r="D435" i="1"/>
  <c r="C439" i="1"/>
  <c r="D439" i="1"/>
  <c r="C464" i="1"/>
  <c r="D464" i="1"/>
  <c r="C472" i="1"/>
  <c r="D472" i="1"/>
  <c r="C480" i="1"/>
  <c r="D480" i="1"/>
  <c r="C488" i="1"/>
  <c r="D488" i="1"/>
  <c r="C494" i="1"/>
  <c r="D494" i="1"/>
  <c r="C495" i="1"/>
  <c r="D495" i="1"/>
  <c r="C500" i="1"/>
  <c r="D500" i="1"/>
  <c r="C503" i="1"/>
  <c r="D503" i="1"/>
  <c r="C509" i="1"/>
  <c r="D509" i="1"/>
  <c r="C511" i="1"/>
  <c r="D511" i="1"/>
  <c r="C513" i="1"/>
  <c r="D513" i="1"/>
  <c r="C524" i="1"/>
  <c r="D524" i="1"/>
  <c r="C528" i="1"/>
  <c r="D528" i="1"/>
  <c r="C536" i="1"/>
  <c r="D536" i="1"/>
  <c r="C570" i="1"/>
  <c r="D570" i="1"/>
  <c r="C595" i="1"/>
  <c r="D595" i="1"/>
  <c r="C614" i="1"/>
  <c r="D614" i="1"/>
  <c r="C615" i="1"/>
  <c r="D615" i="1"/>
  <c r="C617" i="1"/>
  <c r="D617" i="1"/>
  <c r="C620" i="1"/>
  <c r="C634" i="1"/>
  <c r="D634" i="1"/>
  <c r="C643" i="1"/>
  <c r="D643" i="1"/>
  <c r="C662" i="1"/>
  <c r="D662" i="1"/>
  <c r="C664" i="1"/>
  <c r="D664" i="1"/>
  <c r="C673" i="1"/>
  <c r="D673" i="1"/>
  <c r="C677" i="1"/>
  <c r="D677" i="1"/>
  <c r="C681" i="1"/>
  <c r="D681" i="1"/>
  <c r="C720" i="1"/>
  <c r="D720" i="1"/>
  <c r="C722" i="1"/>
  <c r="D722" i="1"/>
  <c r="C725" i="1"/>
  <c r="D725" i="1"/>
  <c r="C728" i="1"/>
  <c r="D728" i="1"/>
  <c r="C731" i="1"/>
  <c r="D731" i="1"/>
  <c r="C740" i="1"/>
  <c r="D740" i="1"/>
  <c r="C747" i="1"/>
  <c r="D747" i="1"/>
  <c r="C752" i="1"/>
  <c r="D752" i="1"/>
  <c r="C758" i="1"/>
  <c r="D758" i="1"/>
  <c r="C766" i="1"/>
  <c r="D766" i="1"/>
  <c r="C773" i="1"/>
  <c r="D773" i="1"/>
  <c r="C774" i="1"/>
  <c r="D774" i="1"/>
  <c r="C779" i="1"/>
  <c r="D779" i="1"/>
  <c r="C782" i="1"/>
  <c r="D782" i="1"/>
  <c r="C791" i="1"/>
  <c r="D791" i="1"/>
  <c r="C814" i="1"/>
  <c r="D814" i="1"/>
  <c r="C829" i="1"/>
  <c r="D829" i="1"/>
  <c r="C854" i="1"/>
  <c r="D854" i="1"/>
  <c r="C855" i="1"/>
  <c r="D855" i="1"/>
  <c r="C879" i="1"/>
  <c r="D879" i="1"/>
  <c r="C880" i="1"/>
  <c r="D880" i="1"/>
  <c r="C894" i="1"/>
  <c r="D894" i="1"/>
  <c r="C899" i="1"/>
  <c r="D899" i="1"/>
  <c r="C902" i="1"/>
  <c r="D902" i="1"/>
  <c r="C908" i="1"/>
  <c r="D908" i="1"/>
  <c r="C911" i="1"/>
  <c r="D911" i="1"/>
  <c r="C926" i="1"/>
  <c r="D926" i="1"/>
  <c r="C928" i="1"/>
  <c r="D928" i="1"/>
  <c r="C929" i="1"/>
  <c r="D929" i="1"/>
  <c r="C930" i="1"/>
  <c r="D930" i="1"/>
  <c r="C937" i="1"/>
  <c r="D937" i="1"/>
  <c r="C950" i="1"/>
  <c r="D950" i="1"/>
  <c r="C960" i="1"/>
  <c r="D960" i="1"/>
  <c r="C963" i="1"/>
  <c r="D963" i="1"/>
  <c r="C974" i="1"/>
  <c r="D974" i="1"/>
  <c r="C984" i="1"/>
  <c r="D984" i="1"/>
  <c r="C987" i="1"/>
  <c r="D987" i="1"/>
  <c r="C995" i="1"/>
  <c r="D995" i="1"/>
  <c r="C998" i="1"/>
  <c r="D998" i="1"/>
  <c r="C1019" i="1"/>
  <c r="D1019" i="1"/>
  <c r="C1062" i="1"/>
  <c r="D1062" i="1"/>
  <c r="C1081" i="1"/>
  <c r="D1081" i="1"/>
  <c r="C1083" i="1"/>
  <c r="D1083" i="1"/>
  <c r="C1092" i="1"/>
  <c r="D1092" i="1"/>
  <c r="C1098" i="1"/>
  <c r="D1098" i="1"/>
  <c r="C1107" i="1"/>
  <c r="D1107" i="1"/>
  <c r="C1121" i="1"/>
  <c r="D1121" i="1"/>
  <c r="C1123" i="1"/>
  <c r="D1123" i="1"/>
  <c r="C1137" i="1"/>
  <c r="D1137" i="1"/>
  <c r="C1145" i="1"/>
  <c r="C1159" i="1"/>
  <c r="D1159" i="1"/>
  <c r="C1170" i="1"/>
  <c r="D1170" i="1"/>
  <c r="C1174" i="1"/>
  <c r="D1174" i="1"/>
  <c r="C1181" i="1"/>
  <c r="D1181" i="1"/>
  <c r="C1198" i="1"/>
  <c r="D1198" i="1"/>
  <c r="C1199" i="1"/>
  <c r="D1199" i="1"/>
  <c r="C1239" i="1"/>
  <c r="D1239" i="1"/>
  <c r="C1242" i="1"/>
  <c r="D1242" i="1"/>
  <c r="C1253" i="1"/>
  <c r="D1253" i="1"/>
  <c r="C1259" i="1"/>
  <c r="D1259" i="1"/>
  <c r="C1268" i="1"/>
  <c r="D1268" i="1"/>
  <c r="C1269" i="1"/>
  <c r="D1269" i="1"/>
  <c r="C1284" i="1"/>
  <c r="D1284" i="1"/>
  <c r="C1291" i="1"/>
  <c r="D1291" i="1"/>
  <c r="C1293" i="1"/>
  <c r="D1293" i="1"/>
  <c r="C1296" i="1"/>
  <c r="D1296" i="1"/>
  <c r="C1304" i="1"/>
  <c r="D1304" i="1"/>
  <c r="C1305" i="1"/>
  <c r="D1305" i="1"/>
  <c r="C1319" i="1"/>
  <c r="D1319" i="1"/>
  <c r="C1320" i="1"/>
  <c r="D1320" i="1"/>
  <c r="C1328" i="1"/>
  <c r="D1328" i="1"/>
  <c r="C1335" i="1"/>
  <c r="D1335" i="1"/>
  <c r="C1353" i="1"/>
  <c r="D1353" i="1"/>
  <c r="C1354" i="1"/>
  <c r="D1354" i="1"/>
  <c r="C1357" i="1"/>
  <c r="D1357" i="1"/>
</calcChain>
</file>

<file path=xl/sharedStrings.xml><?xml version="1.0" encoding="utf-8"?>
<sst xmlns="http://schemas.openxmlformats.org/spreadsheetml/2006/main" count="3035" uniqueCount="1731">
  <si>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</si>
  <si>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</si>
  <si>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</si>
  <si>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</si>
  <si>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</si>
  <si>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</si>
  <si>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</si>
  <si>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AMOXAP_A_au4</t>
  </si>
  <si>
    <t>Pna21</t>
  </si>
  <si>
    <t>AMOXAP (Form I)</t>
  </si>
  <si>
    <t>AMOXAP_A_am85</t>
  </si>
  <si>
    <t>P21/n</t>
  </si>
  <si>
    <t>AMOXAP_B_am44</t>
  </si>
  <si>
    <t>P21/c</t>
  </si>
  <si>
    <t>AMOXAP_B_am10</t>
  </si>
  <si>
    <t>AMOXAP_A_da45</t>
  </si>
  <si>
    <t>Cc</t>
  </si>
  <si>
    <t>AMOXAP_A_fa68</t>
  </si>
  <si>
    <t>AMOXAP_A_ah91</t>
  </si>
  <si>
    <t>P21</t>
  </si>
  <si>
    <t>AMOXAP_A_ak42</t>
  </si>
  <si>
    <t>AMOXAP_A_aq38</t>
  </si>
  <si>
    <t>P212121</t>
  </si>
  <si>
    <t>AMOXAP_A_cb11</t>
  </si>
  <si>
    <t>Pbca</t>
  </si>
  <si>
    <t>AMOXAP_A_ca6</t>
  </si>
  <si>
    <t>P-1</t>
  </si>
  <si>
    <t>AMOXAP_B_az19</t>
  </si>
  <si>
    <t>AMOXAP_A_am96 AMOXAP_B_am96</t>
  </si>
  <si>
    <t>1.311283 1.254784</t>
  </si>
  <si>
    <t>0.674378 0.646666</t>
  </si>
  <si>
    <t>P21/n P21/n</t>
  </si>
  <si>
    <t>AMOXAP_A_cb3</t>
  </si>
  <si>
    <t>AMOXAP_A_aq28</t>
  </si>
  <si>
    <t>AMOXAP_A_am15 AMOXAP_B_am15</t>
  </si>
  <si>
    <t>1.332404 1.294520</t>
  </si>
  <si>
    <t>0.683838 0.665243</t>
  </si>
  <si>
    <t>P21/c P21/n</t>
  </si>
  <si>
    <t>AMOXAP_A_fa31 AMOXAP_B_fa31</t>
  </si>
  <si>
    <t>1.324916 1.268288</t>
  </si>
  <si>
    <t>0.679773 0.652911</t>
  </si>
  <si>
    <t>P21/c P21</t>
  </si>
  <si>
    <t>AMOXAP_A_ab94</t>
  </si>
  <si>
    <t>AMOXAP_A_ca35</t>
  </si>
  <si>
    <t>AMOXAP_A_da44</t>
  </si>
  <si>
    <t>AMOXAP_A_fc117</t>
  </si>
  <si>
    <t>AMOXAP_A_cb71</t>
  </si>
  <si>
    <t>AMOXAP_A_fc81</t>
  </si>
  <si>
    <t>AMOXAP_A_cd26</t>
  </si>
  <si>
    <t>Pbcn</t>
  </si>
  <si>
    <t>AMOXAP_A_am104 AMOXAP_B_am104</t>
  </si>
  <si>
    <t>1.303154 1.269870</t>
  </si>
  <si>
    <t>0.665832 0.654103</t>
  </si>
  <si>
    <t>P21/n P21/c</t>
  </si>
  <si>
    <t>AMOXAP_A_cb99</t>
  </si>
  <si>
    <t>AMOXAP_B_av3</t>
  </si>
  <si>
    <t>AMOXAP_A_dd143</t>
  </si>
  <si>
    <t>C2/c</t>
  </si>
  <si>
    <t>AMOXAP_A_am28 AMOXAP_B_am28</t>
  </si>
  <si>
    <t>1.346255 1.279627</t>
  </si>
  <si>
    <t>0.691297 0.656252</t>
  </si>
  <si>
    <t>AMOXAP_B_de17</t>
  </si>
  <si>
    <t>AMOXAP_A_ce5</t>
  </si>
  <si>
    <t>AMOXAP_B_cc11</t>
  </si>
  <si>
    <t>AMOXAP_A_am39</t>
  </si>
  <si>
    <t>AMOXAP_B_aq107</t>
  </si>
  <si>
    <t>AMOXAP_A_ai28</t>
  </si>
  <si>
    <t>AMOXAP_A_cc40</t>
  </si>
  <si>
    <t>AMOXAP_A_ad80</t>
  </si>
  <si>
    <t>Pc</t>
  </si>
  <si>
    <t>AMOXAP_B_fc15</t>
  </si>
  <si>
    <t>AMOXAP_A_da39</t>
  </si>
  <si>
    <t>AMOXAP_B_ak72</t>
  </si>
  <si>
    <t>AMOXAP_A_aq10</t>
  </si>
  <si>
    <t>AMOXAP_A_aq29 AMOXAP_B_aq29</t>
  </si>
  <si>
    <t>1.307562 1.268964</t>
  </si>
  <si>
    <t>0.672327 0.649536</t>
  </si>
  <si>
    <t>P212121 P212121</t>
  </si>
  <si>
    <t>AMOXAP_B_da13</t>
  </si>
  <si>
    <t>AMOXAP_B_de45</t>
  </si>
  <si>
    <t>AMOXAP_B_ah21</t>
  </si>
  <si>
    <t>AMOXAP_A_ab58</t>
  </si>
  <si>
    <t>AMOXAP_B_ak10</t>
  </si>
  <si>
    <t>AMOXAP_B_am43</t>
  </si>
  <si>
    <t>AMOXAP_A_ai1 AMOXAP_B_ai1</t>
  </si>
  <si>
    <t>1.300204 1.293880</t>
  </si>
  <si>
    <t>0.666685 0.664671</t>
  </si>
  <si>
    <t>P21/c P21/c</t>
  </si>
  <si>
    <t>AMOXAP_B_cb18</t>
  </si>
  <si>
    <t>AMOXAP_A_de109</t>
  </si>
  <si>
    <t>AMOXAP_A_am75</t>
  </si>
  <si>
    <t>AMOXAP_A_de98 AMOXAP_B_de98</t>
  </si>
  <si>
    <t>1.308037 1.224775</t>
  </si>
  <si>
    <t>0.671967 0.628554</t>
  </si>
  <si>
    <t>C2/c C2/c</t>
  </si>
  <si>
    <t>AMOXAP_A_ca19</t>
  </si>
  <si>
    <t>AMOXAP_B_cb72</t>
  </si>
  <si>
    <t>AMOXAP_A_ai4</t>
  </si>
  <si>
    <t>AMOXAP_B_au23</t>
  </si>
  <si>
    <t>AMOXAP_B_av2</t>
  </si>
  <si>
    <t>AMOXAP_B_ai11</t>
  </si>
  <si>
    <t>AMOXAP_B_ai7</t>
  </si>
  <si>
    <t>AMOXAP_A_da63</t>
  </si>
  <si>
    <t>AMOXAP_A_dc20</t>
  </si>
  <si>
    <t>AMOXAP_B_ak55</t>
  </si>
  <si>
    <t>AMOXAP_B_ca132</t>
  </si>
  <si>
    <t>AMOXAP_A_dc132</t>
  </si>
  <si>
    <t>AMOXAP_A_fc92</t>
  </si>
  <si>
    <t>AMOXAP_B_aq95</t>
  </si>
  <si>
    <t>AMOXAP_A_dd103</t>
  </si>
  <si>
    <t>AMOXAP_B_ab44</t>
  </si>
  <si>
    <t>AMOXAP_A_ak79</t>
  </si>
  <si>
    <t>AMOXAP_A_ah8</t>
  </si>
  <si>
    <t>AMOXAP_A_aq37</t>
  </si>
  <si>
    <t>AMOXAP_B_am138</t>
  </si>
  <si>
    <t>AMOXAP_B_fa1</t>
  </si>
  <si>
    <t>AMOXAP_A_cc114</t>
  </si>
  <si>
    <t>AMOXAP_A_am68 AMOXAP_B_am68</t>
  </si>
  <si>
    <t>1.286031 1.277155</t>
  </si>
  <si>
    <t>0.656146 0.651846</t>
  </si>
  <si>
    <t>AMOXAP_A_am118</t>
  </si>
  <si>
    <t>AMOXAP_A_cb69</t>
  </si>
  <si>
    <t>AMOXAP_A_am133</t>
  </si>
  <si>
    <t>AMOXAP_B_cd119</t>
  </si>
  <si>
    <t>Pbc21</t>
  </si>
  <si>
    <t>AMOXAP_B_ak64</t>
  </si>
  <si>
    <t>AMOXAP_A_am24 AMOXAP_B_am24</t>
  </si>
  <si>
    <t>1.272201 1.272175</t>
  </si>
  <si>
    <t>0.652373 0.650461</t>
  </si>
  <si>
    <t>AMOXAP_B_cb153</t>
  </si>
  <si>
    <t>AMOXAP_A_ai45</t>
  </si>
  <si>
    <t>AMOXAP_A_fa35</t>
  </si>
  <si>
    <t>AMOXAP_A_fa107</t>
  </si>
  <si>
    <t>AMOXAP_A_am35 AMOXAP_B_am35</t>
  </si>
  <si>
    <t>1.330676 1.283892</t>
  </si>
  <si>
    <t>0.684251 0.659636</t>
  </si>
  <si>
    <t>AMOXAP_A_cc105</t>
  </si>
  <si>
    <t>AMOXAP_A_da60</t>
  </si>
  <si>
    <t>AMOXAP_B_am112</t>
  </si>
  <si>
    <t>AMOXAP_B_ay33</t>
  </si>
  <si>
    <t>Pca21</t>
  </si>
  <si>
    <t>AMOXAP_B_am20</t>
  </si>
  <si>
    <t>AMOXAP_A_ak76</t>
  </si>
  <si>
    <t>AMOXAP_A_au16</t>
  </si>
  <si>
    <t>P1121</t>
  </si>
  <si>
    <t>AMOXAP_A_ca68</t>
  </si>
  <si>
    <t>AMOXAP_A_ai13 AMOXAP_B_ai13</t>
  </si>
  <si>
    <t>1.297678 1.314633</t>
  </si>
  <si>
    <t>0.665569 0.674489</t>
  </si>
  <si>
    <t>AMOXAP_B_aq42</t>
  </si>
  <si>
    <t>AMOXAP_A_am9</t>
  </si>
  <si>
    <t>AMOXAP_B_av9</t>
  </si>
  <si>
    <t>AMOXAP_A_de52</t>
  </si>
  <si>
    <t>AMOXAP_A_ab42</t>
  </si>
  <si>
    <t>AMOXAP_A_cd19</t>
  </si>
  <si>
    <t>AMOXAP_B_ab31</t>
  </si>
  <si>
    <t>AMOXAP_A_dd5</t>
  </si>
  <si>
    <t>AMOXAP_A_ca29</t>
  </si>
  <si>
    <t>AMOXAP_A_ab10</t>
  </si>
  <si>
    <t>AMOXAP_B_cb81</t>
  </si>
  <si>
    <t>AMOXAP_B_aq13</t>
  </si>
  <si>
    <t>AMOXAP_B_da54</t>
  </si>
  <si>
    <t>AMOXAP_A_bf33</t>
  </si>
  <si>
    <t>AMOXAP_A_aq163</t>
  </si>
  <si>
    <t>AMOXAP_A_am136 AMOXAP_B_am136</t>
  </si>
  <si>
    <t>1.262056 1.324959</t>
  </si>
  <si>
    <t>0.648232 0.678293</t>
  </si>
  <si>
    <t>AMOXAP_A_am79</t>
  </si>
  <si>
    <t>AMOXAP_A_ce87</t>
  </si>
  <si>
    <t>P21/b11</t>
  </si>
  <si>
    <t>AMOXAP_A_av13</t>
  </si>
  <si>
    <t>AMOXAP_A_ai133</t>
  </si>
  <si>
    <t>AMOXAP_B_cc142</t>
  </si>
  <si>
    <t>AMOXAP_B_ab135</t>
  </si>
  <si>
    <t>AMOXAP_A_ca139</t>
  </si>
  <si>
    <t>AMOXAP_A_ab107</t>
  </si>
  <si>
    <t>AMOXAP_A_de71</t>
  </si>
  <si>
    <t>AMOXAP_B_ak47</t>
  </si>
  <si>
    <t>AMOXAP_A_da138</t>
  </si>
  <si>
    <t>AMOXAP_B_cd85</t>
  </si>
  <si>
    <t>P21221</t>
  </si>
  <si>
    <t>AMOXAP_A_da6</t>
  </si>
  <si>
    <t>AMOXAP_B_cb70</t>
  </si>
  <si>
    <t>AMOXAP_B_ab139</t>
  </si>
  <si>
    <t>AMOXAP_A_cc7 AMOXAP_B_cc7</t>
  </si>
  <si>
    <t>1.298113 1.283071</t>
  </si>
  <si>
    <t>0.664582 0.658464</t>
  </si>
  <si>
    <t>Pbca Pbca</t>
  </si>
  <si>
    <t>AMOXAP_B_cb48</t>
  </si>
  <si>
    <t>AMOXAP_A_ab145</t>
  </si>
  <si>
    <t>AMOXAP_A_am46</t>
  </si>
  <si>
    <t>AMOXAP_A_ak82</t>
  </si>
  <si>
    <t>AMOXAP_A_fa11</t>
  </si>
  <si>
    <t>AMOXAP_A_ap33</t>
  </si>
  <si>
    <t>P21212</t>
  </si>
  <si>
    <t>AMOXAP_A_cc82</t>
  </si>
  <si>
    <t>AMOXAP_A_ak23</t>
  </si>
  <si>
    <t>AMOXAP_A_de31</t>
  </si>
  <si>
    <t>AMOXAP_B_ak30</t>
  </si>
  <si>
    <t>AMOXAP_A_ai124</t>
  </si>
  <si>
    <t>AMOXAP_A_db6</t>
  </si>
  <si>
    <t>C2</t>
  </si>
  <si>
    <t>AMOXAP_B_ay44</t>
  </si>
  <si>
    <t>AMOXAP_A_fc95</t>
  </si>
  <si>
    <t>AMOXAP_A_dd3</t>
  </si>
  <si>
    <t>AMOXAP_A_cb25</t>
  </si>
  <si>
    <t>AMOXAP_A_ai59</t>
  </si>
  <si>
    <t>AMOXAP_A_fc37 AMOXAP_B_fc37</t>
  </si>
  <si>
    <t>1.285152 1.280627</t>
  </si>
  <si>
    <t>0.65748 0.657351</t>
  </si>
  <si>
    <t>AMOXAP_B_al20</t>
  </si>
  <si>
    <t>P2/c</t>
  </si>
  <si>
    <t>AMOXAP_A_aq11 AMOXAP_B_aq11</t>
  </si>
  <si>
    <t>1.314508 1.251869</t>
  </si>
  <si>
    <t>0.674101 0.640993</t>
  </si>
  <si>
    <t>AMOXAP_A_am82</t>
  </si>
  <si>
    <t>AMOXAP_A_cb12</t>
  </si>
  <si>
    <t>AMOXAP_A_ab89 AMOXAP_B_ab89</t>
  </si>
  <si>
    <t>1.291301 1.255134</t>
  </si>
  <si>
    <t>0.663406 0.641189</t>
  </si>
  <si>
    <t>P-1 P-1</t>
  </si>
  <si>
    <t>AMOXAP_A_da1</t>
  </si>
  <si>
    <t>AMOXAP_A_ca133</t>
  </si>
  <si>
    <t>AMOXAP_B_am42</t>
  </si>
  <si>
    <t>AMOXAP_A_ai128 AMOXAP_B_ai128</t>
  </si>
  <si>
    <t>1.282463 1.294542</t>
  </si>
  <si>
    <t>0.65798 0.664752</t>
  </si>
  <si>
    <t>AMOXAP_A_ai122</t>
  </si>
  <si>
    <t>AMOXAP_B_cc89</t>
  </si>
  <si>
    <t>AMOXAP_A_cb65</t>
  </si>
  <si>
    <t>AMOXAP_A_cb119</t>
  </si>
  <si>
    <t>AMOXAP_A_am86</t>
  </si>
  <si>
    <t>AMOXAP_B_cb56</t>
  </si>
  <si>
    <t>AMOXAP_A_ab143 AMOXAP_B_ab143</t>
  </si>
  <si>
    <t>1.292295 1.254392</t>
  </si>
  <si>
    <t>0.659724 0.641768</t>
  </si>
  <si>
    <t>AMOXAP_A_de146</t>
  </si>
  <si>
    <t>AMOXAP_A_ak37</t>
  </si>
  <si>
    <t>AMOXAP_A_aq65</t>
  </si>
  <si>
    <t>AMOXAP_A_fa13</t>
  </si>
  <si>
    <t>AMOXAP_A_ca107</t>
  </si>
  <si>
    <t>AMOXAP_A_aq77</t>
  </si>
  <si>
    <t>AMOXAP_A_aq76</t>
  </si>
  <si>
    <t>AMOXAP_A_cc31</t>
  </si>
  <si>
    <t>AMOXAP_B_dd8</t>
  </si>
  <si>
    <t>AMOXAP_A_bb12</t>
  </si>
  <si>
    <t>P2111</t>
  </si>
  <si>
    <t>AMOXAP_A_fa32 AMOXAP_B_fa32</t>
  </si>
  <si>
    <t>1.294708 1.226878</t>
  </si>
  <si>
    <t>0.664364 0.630861</t>
  </si>
  <si>
    <t>AMOXAP_A_ak43 AMOXAP_B_ak43</t>
  </si>
  <si>
    <t>1.312980 1.254708</t>
  </si>
  <si>
    <t>0.674256 0.643431</t>
  </si>
  <si>
    <t>AMOXAP_B_am19</t>
  </si>
  <si>
    <t>AMOXAP_A_aq130</t>
  </si>
  <si>
    <t>AMOXAP_A_am48 AMOXAP_B_am48</t>
  </si>
  <si>
    <t>1.270907 1.267946</t>
  </si>
  <si>
    <t>0.650984 0.652153</t>
  </si>
  <si>
    <t>AMOXAP_B_cb115</t>
  </si>
  <si>
    <t>AMOXAP_B_bh47</t>
  </si>
  <si>
    <t>AMOXAP_B_au145</t>
  </si>
  <si>
    <t>AMOXAP_B_au101</t>
  </si>
  <si>
    <t>Pa</t>
  </si>
  <si>
    <t>AMOXAP_A_cb100 AMOXAP_B_cb100</t>
  </si>
  <si>
    <t>1.241781 1.282293</t>
  </si>
  <si>
    <t>0.634785 0.657811</t>
  </si>
  <si>
    <t>AMOXAP_B_bd11</t>
  </si>
  <si>
    <t>AMOXAP_A_ai46</t>
  </si>
  <si>
    <t>AMOXAP_B_ai98</t>
  </si>
  <si>
    <t>AMOXAP_B_ab98</t>
  </si>
  <si>
    <t>AMOXAP_A_am91 AMOXAP_B_am91</t>
  </si>
  <si>
    <t>1.287963 1.301259</t>
  </si>
  <si>
    <t>0.661616 0.669801</t>
  </si>
  <si>
    <t>AMOXAP_A_aq66</t>
  </si>
  <si>
    <t>AMOXAP_A_ak1</t>
  </si>
  <si>
    <t>AMOXAP_A_am105 AMOXAP_B_am105</t>
  </si>
  <si>
    <t>1.284658 1.236611</t>
  </si>
  <si>
    <t>0.659603 0.635247</t>
  </si>
  <si>
    <t>AMOXAP_B_am13</t>
  </si>
  <si>
    <t>AMOXAP_A_ak131</t>
  </si>
  <si>
    <t>AMOXAP_A_da61</t>
  </si>
  <si>
    <t>AMOXAP_A_ai60 AMOXAP_B_ai60</t>
  </si>
  <si>
    <t>1.276377 1.264689</t>
  </si>
  <si>
    <t>0.651713 0.647697</t>
  </si>
  <si>
    <t>AMOXAP_A_ca26</t>
  </si>
  <si>
    <t>AMOXAP_A_av126</t>
  </si>
  <si>
    <t>AMOXAP_A_cc26</t>
  </si>
  <si>
    <t>AMOXAP_A_cb95</t>
  </si>
  <si>
    <t>AMOXAP_B_ak103</t>
  </si>
  <si>
    <t>AMOXAP_A_am100</t>
  </si>
  <si>
    <t>AMOXAP_A_am18</t>
  </si>
  <si>
    <t>AMOXAP_A_ca8</t>
  </si>
  <si>
    <t>AMOXAP_B_al27</t>
  </si>
  <si>
    <t>AMOXAP_A_da14</t>
  </si>
  <si>
    <t>AMOXAP_B_cb164</t>
  </si>
  <si>
    <t>AMOXAP_B_av106</t>
  </si>
  <si>
    <t>AMOXAP_B_ab2</t>
  </si>
  <si>
    <t>AMOXAP_A_cb10</t>
  </si>
  <si>
    <t>AMOXAP_A_de107</t>
  </si>
  <si>
    <t>AMOXAP_A_am74</t>
  </si>
  <si>
    <t>AMOXAP_A_de140</t>
  </si>
  <si>
    <t>AMOXAP_A_bb21</t>
  </si>
  <si>
    <t>AMOXAP_A_ak53</t>
  </si>
  <si>
    <t>AMOXAP_A_ai77 AMOXAP_B_ai77</t>
  </si>
  <si>
    <t>1.260713 1.260228</t>
  </si>
  <si>
    <t>0.646644 0.646363</t>
  </si>
  <si>
    <t>AMOXAP_B_au5</t>
  </si>
  <si>
    <t>AMOXAP_A_am110 AMOXAP_B_am110</t>
  </si>
  <si>
    <t>1.290326 1.306574</t>
  </si>
  <si>
    <t>0.661496 0.668352</t>
  </si>
  <si>
    <t>AMOXAP_A_cb148 AMOXAP_B_cb148</t>
  </si>
  <si>
    <t>1.267553 1.226568</t>
  </si>
  <si>
    <t>0.6473 0.629628</t>
  </si>
  <si>
    <t>AMOXAP_A_ak18</t>
  </si>
  <si>
    <t>AMOXAP_B_fc66</t>
  </si>
  <si>
    <t>AMOXAP_A_am102</t>
  </si>
  <si>
    <t>AMOXAP_A_aq106</t>
  </si>
  <si>
    <t>AMOXAP_A_dd150</t>
  </si>
  <si>
    <t>AMOXAP_B_az101</t>
  </si>
  <si>
    <t>AMOXAP_A_am148</t>
  </si>
  <si>
    <t>AMOXAP_B_cb117</t>
  </si>
  <si>
    <t>AMOXAP_B_cc135</t>
  </si>
  <si>
    <t>AMOXAP_B_ca25</t>
  </si>
  <si>
    <t>AMOXAP_A_cb5</t>
  </si>
  <si>
    <t>AMOXAP_A_ce22</t>
  </si>
  <si>
    <t>AMOXAP_B_dd18</t>
  </si>
  <si>
    <t>AMOXAP_A_aq124</t>
  </si>
  <si>
    <t>AMOXAP_B_ay136</t>
  </si>
  <si>
    <t>AMOXAP_A_ai82 AMOXAP_B_ai82</t>
  </si>
  <si>
    <t>1.298690 1.310774</t>
  </si>
  <si>
    <t>0.664501 0.671365</t>
  </si>
  <si>
    <t>AMOXAP_A_da98</t>
  </si>
  <si>
    <t>AMOXAP_A_cb38</t>
  </si>
  <si>
    <t>AMOXAP_A_fa52</t>
  </si>
  <si>
    <t>AMOXAP_A_ai30</t>
  </si>
  <si>
    <t>AMOXAP_A_am32</t>
  </si>
  <si>
    <t>AMOXAP_A_aq56</t>
  </si>
  <si>
    <t>AMOXAP_A_cc29 AMOXAP_B_cc29</t>
  </si>
  <si>
    <t>1.291595 1.265578</t>
  </si>
  <si>
    <t>0.663211 0.648809</t>
  </si>
  <si>
    <t>AMOXAP_A_am80</t>
  </si>
  <si>
    <t>AMOXAP_A_cb93 AMOXAP_B_cb93</t>
  </si>
  <si>
    <t>1.248644 1.285723</t>
  </si>
  <si>
    <t>0.63924 0.659082</t>
  </si>
  <si>
    <t>AMOXAP_A_aq112</t>
  </si>
  <si>
    <t>AMOXAP_B_bj104</t>
  </si>
  <si>
    <t>AMOXAP_A_ai78</t>
  </si>
  <si>
    <t>AMOXAP_A_bb36</t>
  </si>
  <si>
    <t>AMOXAP_A_ay2</t>
  </si>
  <si>
    <t>AMOXAP_A_fa59</t>
  </si>
  <si>
    <t>AMOXAP_A_db14</t>
  </si>
  <si>
    <t>AMOXAP_B_bb79</t>
  </si>
  <si>
    <t>AMOXAP_B_fc87</t>
  </si>
  <si>
    <t>AMOXAP_A_cb87</t>
  </si>
  <si>
    <t>AMOXAP_A_fa37 AMOXAP_B_fa37</t>
  </si>
  <si>
    <t>1.284392 1.256272</t>
  </si>
  <si>
    <t>0.660801 0.644794</t>
  </si>
  <si>
    <t>AMOXAP_A_am161</t>
  </si>
  <si>
    <t>AMOXAP_A_ap9</t>
  </si>
  <si>
    <t>AMOXAP_B_fc43</t>
  </si>
  <si>
    <t>AMOXAP_B_am36</t>
  </si>
  <si>
    <t>AMOXAP_A_cc111</t>
  </si>
  <si>
    <t>AMOXAP_A_ah23</t>
  </si>
  <si>
    <t>AMOXAP_B_az1</t>
  </si>
  <si>
    <t>AMOXAP_A_ah9</t>
  </si>
  <si>
    <t>AMOXAP_A_fc38</t>
  </si>
  <si>
    <t>AMOXAP_A_cd21 AMOXAP_B_cd21</t>
  </si>
  <si>
    <t>1.269807 1.239827</t>
  </si>
  <si>
    <t>0.65158 0.633209</t>
  </si>
  <si>
    <t>Pbcn Pbcn</t>
  </si>
  <si>
    <t>AMOXAP_B_ca31</t>
  </si>
  <si>
    <t>AMOXAP_A_am113 AMOXAP_B_am113</t>
  </si>
  <si>
    <t>1.279297 1.245691</t>
  </si>
  <si>
    <t>0.658172 0.63965</t>
  </si>
  <si>
    <t>AMOXAP_A_fa57</t>
  </si>
  <si>
    <t>AMOXAP_A_ce136</t>
  </si>
  <si>
    <t>AMOXAP_A_de149</t>
  </si>
  <si>
    <t>AMOXAP_A_ak70</t>
  </si>
  <si>
    <t>AMOXAP_B_ai131</t>
  </si>
  <si>
    <t>AMOXAP_A_av43 AMOXAP_B_av43</t>
  </si>
  <si>
    <t>1.264375 1.279104</t>
  </si>
  <si>
    <t>0.646861 0.656682</t>
  </si>
  <si>
    <t>Pna21 P1121</t>
  </si>
  <si>
    <t>AMOXAP_A_cb120</t>
  </si>
  <si>
    <t>AMOXAP_B_ab121</t>
  </si>
  <si>
    <t>AMOXAP_B_af118</t>
  </si>
  <si>
    <t>AMOXAP_A_az109</t>
  </si>
  <si>
    <t>AMOXAP_A_fc31 AMOXAP_B_fc31</t>
  </si>
  <si>
    <t>1.295061 1.265401</t>
  </si>
  <si>
    <t>0.662107 0.649194</t>
  </si>
  <si>
    <t>AMOXAP_B_ay6</t>
  </si>
  <si>
    <t>AMOXAP_A_ai21</t>
  </si>
  <si>
    <t>AMOXAP_B_am126</t>
  </si>
  <si>
    <t>AMOXAP_B_fc13</t>
  </si>
  <si>
    <t>AMOXAP_A_ce3 AMOXAP_B_ce3</t>
  </si>
  <si>
    <t>1.278259 1.329449</t>
  </si>
  <si>
    <t>0.657043 0.681195</t>
  </si>
  <si>
    <t>AMOXAP_A_da16</t>
  </si>
  <si>
    <t>AMOXAP_A_de137</t>
  </si>
  <si>
    <t>AMOXAP_B_al82</t>
  </si>
  <si>
    <t>AMOXAP_A_ar66</t>
  </si>
  <si>
    <t>Pn</t>
  </si>
  <si>
    <t>AMOXAP_A_de60</t>
  </si>
  <si>
    <t>AMOXAP_A_cc10</t>
  </si>
  <si>
    <t>AMOXAP_A_aa72</t>
  </si>
  <si>
    <t>P1</t>
  </si>
  <si>
    <t>AMOXAP_A_de55</t>
  </si>
  <si>
    <t>AMOXAP_B_ab155</t>
  </si>
  <si>
    <t>AMOXAP_A_de29</t>
  </si>
  <si>
    <t>AMOXAP_A_fc1</t>
  </si>
  <si>
    <t>AMOXAP_A_cd126</t>
  </si>
  <si>
    <t>AMOXAP_A_aj29</t>
  </si>
  <si>
    <t>AMOXAP_B_ca53</t>
  </si>
  <si>
    <t>AMOXAP_A_am54</t>
  </si>
  <si>
    <t>AMOXAP_A_dc112</t>
  </si>
  <si>
    <t>AMOXAP_A_am33</t>
  </si>
  <si>
    <t>AMOXAP_A_ca75</t>
  </si>
  <si>
    <t>AMOXAP_A_am30</t>
  </si>
  <si>
    <t>AMOXAP_A_cc73</t>
  </si>
  <si>
    <t>AMOXAP_A_ak9</t>
  </si>
  <si>
    <t>AMOXAP_B_ca91</t>
  </si>
  <si>
    <t>AMOXAP_A_da43</t>
  </si>
  <si>
    <t>AMOXAP_B_af46</t>
  </si>
  <si>
    <t>AMOXAP_B_cb89</t>
  </si>
  <si>
    <t>AMOXAP_B_ah20</t>
  </si>
  <si>
    <t>AMOXAP_B_au36</t>
  </si>
  <si>
    <t>AMOXAP_A_ai103</t>
  </si>
  <si>
    <t>AMOXAP_B_ce55</t>
  </si>
  <si>
    <t>AMOXAP_A_ab70</t>
  </si>
  <si>
    <t>AMOXAP_A_ce66</t>
  </si>
  <si>
    <t>AMOXAP_A_cb133</t>
  </si>
  <si>
    <t>AMOXAP_A_ak13</t>
  </si>
  <si>
    <t>AMOXAP_A_ai116</t>
  </si>
  <si>
    <t>AMOXAP_A_au63</t>
  </si>
  <si>
    <t>AMOXAP_A_af36</t>
  </si>
  <si>
    <t>AMOXAP_A_aq119</t>
  </si>
  <si>
    <t>AMOXAP_A_de79</t>
  </si>
  <si>
    <t>AMOXAP_A_dd156</t>
  </si>
  <si>
    <t>AMOXAP_A_af94</t>
  </si>
  <si>
    <t>AMOXAP_A_fa27</t>
  </si>
  <si>
    <t>AMOXAP_A_cc134</t>
  </si>
  <si>
    <t>AMOXAP_A_ak116</t>
  </si>
  <si>
    <t>AMOXAP_B_fa4</t>
  </si>
  <si>
    <t>AMOXAP_B_ba29</t>
  </si>
  <si>
    <t>AMOXAP_B_cc57</t>
  </si>
  <si>
    <t>P1121/a</t>
  </si>
  <si>
    <t>AMOXAP_A_cb96</t>
  </si>
  <si>
    <t>AMOXAP_B_aq69</t>
  </si>
  <si>
    <t>AMOXAP_A_de49</t>
  </si>
  <si>
    <t>AMOXAP_A_am123</t>
  </si>
  <si>
    <t>AMOXAP_B_aq49</t>
  </si>
  <si>
    <t>AMOXAP_B_az27</t>
  </si>
  <si>
    <t>AMOXAP_A_ai53</t>
  </si>
  <si>
    <t>AMOXAP_A_ai132</t>
  </si>
  <si>
    <t>AMOXAP_A_cd28</t>
  </si>
  <si>
    <t>AMOXAP_A_de61</t>
  </si>
  <si>
    <t>AMOXAP_A_fc133</t>
  </si>
  <si>
    <t>AMOXAP_A_de77</t>
  </si>
  <si>
    <t>AMOXAP_A_am149 AMOXAP_B_am149</t>
  </si>
  <si>
    <t>1.211761 1.250454</t>
  </si>
  <si>
    <t>0.620343 0.642888</t>
  </si>
  <si>
    <t>AMOXAP_A_aq41 AMOXAP_B_aq41</t>
  </si>
  <si>
    <t>1.275887 1.263576</t>
  </si>
  <si>
    <t>0.654901 0.650186</t>
  </si>
  <si>
    <t>AMOXAP_A_dc72</t>
  </si>
  <si>
    <t>AMOXAP_A_ak69 AMOXAP_B_ak69</t>
  </si>
  <si>
    <t>1.271035 1.253761</t>
  </si>
  <si>
    <t>0.65287 0.645561</t>
  </si>
  <si>
    <t>AMOXAP_A_db50</t>
  </si>
  <si>
    <t>AMOXAP_B_ab12</t>
  </si>
  <si>
    <t>AMOXAP_A_ak49</t>
  </si>
  <si>
    <t>AMOXAP_B_fa101</t>
  </si>
  <si>
    <t>AMOXAP_B_bj77</t>
  </si>
  <si>
    <t>AMOXAP_B_ce73</t>
  </si>
  <si>
    <t>AMOXAP_B_bf26</t>
  </si>
  <si>
    <t>AMOXAP_B_aq150</t>
  </si>
  <si>
    <t>AMOXAP_A_cc81</t>
  </si>
  <si>
    <t>AMOXAP_A_au7</t>
  </si>
  <si>
    <t>AMOXAP_A_az108</t>
  </si>
  <si>
    <t>AMOXAP_A_aq79</t>
  </si>
  <si>
    <t>AMOXAP_A_ai44</t>
  </si>
  <si>
    <t>AMOXAP_A_am25</t>
  </si>
  <si>
    <t>AMOXAP_A_dd123</t>
  </si>
  <si>
    <t>AMOXAP_A_cc106</t>
  </si>
  <si>
    <t>AMOXAP_A_am129</t>
  </si>
  <si>
    <t>AMOXAP_A_ay30</t>
  </si>
  <si>
    <t>AMOXAP_B_cb106</t>
  </si>
  <si>
    <t>AMOXAP_B_de38</t>
  </si>
  <si>
    <t>AMOXAP_A_au24</t>
  </si>
  <si>
    <t>AMOXAP_A_ap22</t>
  </si>
  <si>
    <t>AMOXAP_A_ca27</t>
  </si>
  <si>
    <t>AMOXAP_A_dc35</t>
  </si>
  <si>
    <t>AMOXAP_B_ai112</t>
  </si>
  <si>
    <t>AMOXAP_A_fc89</t>
  </si>
  <si>
    <t>AMOXAP_A_de16</t>
  </si>
  <si>
    <t>AMOXAP_B_av15</t>
  </si>
  <si>
    <t>AMOXAP_B_ba59</t>
  </si>
  <si>
    <t>AMOXAP_B_bb69</t>
  </si>
  <si>
    <t>AMOXAP_A_de33</t>
  </si>
  <si>
    <t>AMOXAP_A_am77 AMOXAP_B_am77</t>
  </si>
  <si>
    <t>1.288046 1.256879</t>
  </si>
  <si>
    <t>0.662586 0.644074</t>
  </si>
  <si>
    <t>AMOXAP_A_ak114</t>
  </si>
  <si>
    <t>AMOXAP_A_ah82</t>
  </si>
  <si>
    <t>AMOXAP_A_ak45 AMOXAP_B_ak45</t>
  </si>
  <si>
    <t>1.279783 1.264838</t>
  </si>
  <si>
    <t>0.654009 0.649277</t>
  </si>
  <si>
    <t>AMOXAP_A_ak39</t>
  </si>
  <si>
    <t>AMOXAP_A_ai126</t>
  </si>
  <si>
    <t>AMOXAP_A_de4</t>
  </si>
  <si>
    <t>AMOXAP_A_ai139</t>
  </si>
  <si>
    <t>AMOXAP_A_cc66 AMOXAP_B_cc66</t>
  </si>
  <si>
    <t>1.283268 1.279004</t>
  </si>
  <si>
    <t>-137.305 0</t>
  </si>
  <si>
    <t>0.655809 0.654838</t>
  </si>
  <si>
    <t>AMOXAP_A_al104</t>
  </si>
  <si>
    <t>AMOXAP_A_af32</t>
  </si>
  <si>
    <t>AMOXAP_A_av138</t>
  </si>
  <si>
    <t>AMOXAP_A_de27</t>
  </si>
  <si>
    <t>AMOXAP_B_cc3</t>
  </si>
  <si>
    <t>AMOXAP_B_aq132</t>
  </si>
  <si>
    <t>AMOXAP_B_ab158</t>
  </si>
  <si>
    <t>AMOXAP_A_aq12</t>
  </si>
  <si>
    <t>AMOXAP_A_fc19</t>
  </si>
  <si>
    <t>AMOXAP_B_ak32</t>
  </si>
  <si>
    <t>AMOXAP_A_cb44 AMOXAP_B_cb44</t>
  </si>
  <si>
    <t>1.268255 1.255174</t>
  </si>
  <si>
    <t>0.65299 0.644853</t>
  </si>
  <si>
    <t>AMOXAP_A_ce29 AMOXAP_B_ce29</t>
  </si>
  <si>
    <t>1.293563 1.260352</t>
  </si>
  <si>
    <t>0.661086 0.645905</t>
  </si>
  <si>
    <t>AMOXAP_A_fc21</t>
  </si>
  <si>
    <t>AMOXAP_A_ak3</t>
  </si>
  <si>
    <t>AMOXAP_A_ak113</t>
  </si>
  <si>
    <t>AMOXAP_A_fa34 AMOXAP_B_fa34</t>
  </si>
  <si>
    <t>1.285878 1.227325</t>
  </si>
  <si>
    <t>0.6601 0.627849</t>
  </si>
  <si>
    <t>AMOXAP_B_av14</t>
  </si>
  <si>
    <t>AMOXAP_A_dc34</t>
  </si>
  <si>
    <t>AMOXAP_B_dd101</t>
  </si>
  <si>
    <t>AMOXAP_A_ab115</t>
  </si>
  <si>
    <t>AMOXAP_A_am121</t>
  </si>
  <si>
    <t>AMOXAP_A_ai130</t>
  </si>
  <si>
    <t>AMOXAP_A_ab127</t>
  </si>
  <si>
    <t>AMOXAP_B_ca104</t>
  </si>
  <si>
    <t>AMOXAP_B_ak11</t>
  </si>
  <si>
    <t>AMOXAP_A_ca49</t>
  </si>
  <si>
    <t>AMOXAP_A_dd20 AMOXAP_B_dd20</t>
  </si>
  <si>
    <t>1.243170 1.240594</t>
  </si>
  <si>
    <t>0.636589 0.635227</t>
  </si>
  <si>
    <t>AMOXAP_B_fa2</t>
  </si>
  <si>
    <t>AMOXAP_A_cd39</t>
  </si>
  <si>
    <t>AMOXAP_B_ak150</t>
  </si>
  <si>
    <t>AMOXAP_B_da2</t>
  </si>
  <si>
    <t>AMOXAP_A_ak137</t>
  </si>
  <si>
    <t>AMOXAP_A_ak98</t>
  </si>
  <si>
    <t>AMOXAP_B_cc74</t>
  </si>
  <si>
    <t>AMOXAP_A_ai104 AMOXAP_B_ai104</t>
  </si>
  <si>
    <t>1.293638 1.277223</t>
  </si>
  <si>
    <t>0.665499 0.656628</t>
  </si>
  <si>
    <t>AMOXAP_A_ak31 AMOXAP_B_ak31</t>
  </si>
  <si>
    <t>1.296987 1.279513</t>
  </si>
  <si>
    <t>0.664793 0.65504</t>
  </si>
  <si>
    <t>AMOXAP_B_af75</t>
  </si>
  <si>
    <t>AMOXAP_A_ap123</t>
  </si>
  <si>
    <t>AMOXAP_A_dd9</t>
  </si>
  <si>
    <t>AMOXAP_A_ab80</t>
  </si>
  <si>
    <t>AMOXAP_A_ap82</t>
  </si>
  <si>
    <t>AMOXAP_A_af28</t>
  </si>
  <si>
    <t>AMOXAP_A_av66</t>
  </si>
  <si>
    <t>AMOXAP_A_ca100</t>
  </si>
  <si>
    <t>AMOXAP_A_dd122</t>
  </si>
  <si>
    <t>AMOXAP_A_dd19</t>
  </si>
  <si>
    <t>AMOXAP_B_az103</t>
  </si>
  <si>
    <t>AMOXAP_A_fc127</t>
  </si>
  <si>
    <t>AMOXAP_A_cb158</t>
  </si>
  <si>
    <t>AMOXAP_B_ca155</t>
  </si>
  <si>
    <t>AMOXAP_A_fc45 AMOXAP_B_fc45</t>
  </si>
  <si>
    <t>1.266999 1.228310</t>
  </si>
  <si>
    <t>0.648409 0.630745</t>
  </si>
  <si>
    <t>AMOXAP_B_fc99</t>
  </si>
  <si>
    <t>AMOXAP_A_az2</t>
  </si>
  <si>
    <t>AMOXAP_A_az69</t>
  </si>
  <si>
    <t>AMOXAP_A_cb32 AMOXAP_B_cb32</t>
  </si>
  <si>
    <t>1.285359 1.264984</t>
  </si>
  <si>
    <t>0.659536 0.648726</t>
  </si>
  <si>
    <t>AMOXAP_A_dc33</t>
  </si>
  <si>
    <t>AMOXAP_A_av25</t>
  </si>
  <si>
    <t>AMOXAP_A_aq170</t>
  </si>
  <si>
    <t>AMOXAP_B_ar55</t>
  </si>
  <si>
    <t>AMOXAP_A_aw82</t>
  </si>
  <si>
    <t>Pba2</t>
  </si>
  <si>
    <t>AMOXAP_A_ai85</t>
  </si>
  <si>
    <t>AMOXAP_A_ak71</t>
  </si>
  <si>
    <t>AMOXAP_A_ai65</t>
  </si>
  <si>
    <t>AMOXAP_B_ca129</t>
  </si>
  <si>
    <t>AMOXAP_A_am132</t>
  </si>
  <si>
    <t>AMOXAP_A_cb86</t>
  </si>
  <si>
    <t>AMOXAP_A_ai42</t>
  </si>
  <si>
    <t>AMOXAP_A_db103</t>
  </si>
  <si>
    <t>AMOXAP_A_dd152</t>
  </si>
  <si>
    <t>AMOXAP_B_ay53</t>
  </si>
  <si>
    <t>AMOXAP_A_ba17</t>
  </si>
  <si>
    <t>AMOXAP_A_ad95</t>
  </si>
  <si>
    <t>AMOXAP_B_ab73</t>
  </si>
  <si>
    <t>AMOXAP_B_ai19</t>
  </si>
  <si>
    <t>AMOXAP_A_ad57</t>
  </si>
  <si>
    <t>AMOXAP_B_av5</t>
  </si>
  <si>
    <t>AMOXAP_A_am72</t>
  </si>
  <si>
    <t>AMOXAP_A_ai143</t>
  </si>
  <si>
    <t>AMOXAP_A_af13</t>
  </si>
  <si>
    <t>AMOXAP_A_az43 AMOXAP_B_az43</t>
  </si>
  <si>
    <t>1.281952 1.286709</t>
  </si>
  <si>
    <t>0.660885 0.661533</t>
  </si>
  <si>
    <t>AMOXAP_A_cb134</t>
  </si>
  <si>
    <t>AMOXAP_B_dd57</t>
  </si>
  <si>
    <t>AMOXAP_B_ad62</t>
  </si>
  <si>
    <t>AMOXAP_B_ay15</t>
  </si>
  <si>
    <t>AMOXAP_A_am40</t>
  </si>
  <si>
    <t>AMOXAP_A_cb41</t>
  </si>
  <si>
    <t>AMOXAP_B_aq21</t>
  </si>
  <si>
    <t>AMOXAP_A_am155 AMOXAP_B_am155</t>
  </si>
  <si>
    <t>1.273574 1.280421</t>
  </si>
  <si>
    <t>0.653895 0.657501</t>
  </si>
  <si>
    <t>AMOXAP_A_fa38</t>
  </si>
  <si>
    <t>AMOXAP_A_am117</t>
  </si>
  <si>
    <t>AMOXAP_B_bd113</t>
  </si>
  <si>
    <t>AMOXAP_B_ai6</t>
  </si>
  <si>
    <t>AMOXAP_B_ca122</t>
  </si>
  <si>
    <t>AMOXAP_B_de24</t>
  </si>
  <si>
    <t>AMOXAP_A_ak91</t>
  </si>
  <si>
    <t>AMOXAP_A_ak52 AMOXAP_B_ak52</t>
  </si>
  <si>
    <t>1.282177 1.244520</t>
  </si>
  <si>
    <t>0.658688 0.638058</t>
  </si>
  <si>
    <t>AMOXAP_A_cc75</t>
  </si>
  <si>
    <t>AMOXAP_A_ab134</t>
  </si>
  <si>
    <t>AMOXAP_A_bg10</t>
  </si>
  <si>
    <t>AMOXAP_A_ab28</t>
  </si>
  <si>
    <t>AMOXAP_A_am140</t>
  </si>
  <si>
    <t>AMOXAP_B_ai72</t>
  </si>
  <si>
    <t>AMOXAP_B_cd86</t>
  </si>
  <si>
    <t>AMOXAP_A_am58 AMOXAP_B_am58</t>
  </si>
  <si>
    <t>1.247919 1.272430</t>
  </si>
  <si>
    <t>0.639568 0.654001</t>
  </si>
  <si>
    <t>AMOXAP_A_aj2</t>
  </si>
  <si>
    <t>AMOXAP_B_am63</t>
  </si>
  <si>
    <t>AMOXAP_A_aq109</t>
  </si>
  <si>
    <t>AMOXAP_B_fc71</t>
  </si>
  <si>
    <t>AMOXAP_A_fc100</t>
  </si>
  <si>
    <t>AMOXAP_A_am14 AMOXAP_B_am14</t>
  </si>
  <si>
    <t>1.296932 1.241838</t>
  </si>
  <si>
    <t>0.66458 0.636452</t>
  </si>
  <si>
    <t>AMOXAP_A_de50 AMOXAP_B_de50</t>
  </si>
  <si>
    <t>1.281725 1.233135</t>
  </si>
  <si>
    <t>0.658058 0.63193</t>
  </si>
  <si>
    <t>AMOXAP_A_ab146</t>
  </si>
  <si>
    <t>AMOXAP_A_db70</t>
  </si>
  <si>
    <t>AMOXAP_A_aq145</t>
  </si>
  <si>
    <t>AMOXAP_A_az42</t>
  </si>
  <si>
    <t>AMOXAP_A_az135 AMOXAP_B_az135</t>
  </si>
  <si>
    <t>1.271868 1.281673</t>
  </si>
  <si>
    <t>0.652074 0.657866</t>
  </si>
  <si>
    <t>AMOXAP_A_de30</t>
  </si>
  <si>
    <t>AMOXAP_A_dd124</t>
  </si>
  <si>
    <t>AMOXAP_A_ai145 AMOXAP_B_ai145</t>
  </si>
  <si>
    <t>1.291325 1.258358</t>
  </si>
  <si>
    <t>0.662053 0.646499</t>
  </si>
  <si>
    <t>AMOXAP_A_av120</t>
  </si>
  <si>
    <t>AMOXAP_B_am7</t>
  </si>
  <si>
    <t>AMOXAP_A_ak50</t>
  </si>
  <si>
    <t>AMOXAP_A_ai55</t>
  </si>
  <si>
    <t>AMOXAP_A_cc8</t>
  </si>
  <si>
    <t>AMOXAP_A_ak7 AMOXAP_B_ak7</t>
  </si>
  <si>
    <t>1.266459 1.260562</t>
  </si>
  <si>
    <t>0.651732 0.64483</t>
  </si>
  <si>
    <t>AMOXAP_B_dc69</t>
  </si>
  <si>
    <t>AMOXAP_A_dc44 AMOXAP_B_dc44</t>
  </si>
  <si>
    <t>1.263803 1.273970</t>
  </si>
  <si>
    <t>0.64816 0.653826</t>
  </si>
  <si>
    <t>AMOXAP_B_ah31</t>
  </si>
  <si>
    <t>AMOXAP_A_cc42 AMOXAP_B_cc42</t>
  </si>
  <si>
    <t>1.288355 1.271959</t>
  </si>
  <si>
    <t>0.658735 0.654082</t>
  </si>
  <si>
    <t>AMOXAP_A_af73</t>
  </si>
  <si>
    <t>AMOXAP_A_cd127</t>
  </si>
  <si>
    <t>AMOXAP_A_cc16</t>
  </si>
  <si>
    <t>AMOXAP_A_fc115</t>
  </si>
  <si>
    <t>AMOXAP_A_dd58</t>
  </si>
  <si>
    <t>AMOXAP_A_ai148</t>
  </si>
  <si>
    <t>AMOXAP_A_aq88</t>
  </si>
  <si>
    <t>AMOXAP_A_ca89</t>
  </si>
  <si>
    <t>AMOXAP_A_ay13</t>
  </si>
  <si>
    <t>AMOXAP_A_dd21</t>
  </si>
  <si>
    <t>AMOXAP_A_fa39 AMOXAP_B_fa39</t>
  </si>
  <si>
    <t>1.287946 1.249635</t>
  </si>
  <si>
    <t>0.662789 0.639344</t>
  </si>
  <si>
    <t>AMOXAP_B_cb161</t>
  </si>
  <si>
    <t>AMOXAP_A_al5</t>
  </si>
  <si>
    <t>AMOXAP_A_fa51</t>
  </si>
  <si>
    <t>AMOXAP_A_db9 AMOXAP_B_db9</t>
  </si>
  <si>
    <t>1.285464 1.260237</t>
  </si>
  <si>
    <t>0.659534 0.646152</t>
  </si>
  <si>
    <t>C2 C2</t>
  </si>
  <si>
    <t>AMOXAP_A_ce118</t>
  </si>
  <si>
    <t>AMOXAP_B_ai97</t>
  </si>
  <si>
    <t>AMOXAP_B_cb137</t>
  </si>
  <si>
    <t>AMOXAP_A_ak94</t>
  </si>
  <si>
    <t>AMOXAP_B_ca86</t>
  </si>
  <si>
    <t>AMOXAP_A_cb13</t>
  </si>
  <si>
    <t>AMOXAP_A_ak108</t>
  </si>
  <si>
    <t>AMOXAP_A_ak73 AMOXAP_B_ak73</t>
  </si>
  <si>
    <t>1.219985 1.262718</t>
  </si>
  <si>
    <t>0.622508 0.648572</t>
  </si>
  <si>
    <t>AMOXAP_B_de5</t>
  </si>
  <si>
    <t>AMOXAP_A_ai141</t>
  </si>
  <si>
    <t>AMOXAP_B_cd122</t>
  </si>
  <si>
    <t>AMOXAP_B_fa47</t>
  </si>
  <si>
    <t>AMOXAP_A_am52</t>
  </si>
  <si>
    <t>AMOXAP_A_az62</t>
  </si>
  <si>
    <t>AMOXAP_B_cc37</t>
  </si>
  <si>
    <t>AMOXAP_A_de88</t>
  </si>
  <si>
    <t>AMOXAP_B_am153</t>
  </si>
  <si>
    <t>AMOXAP_B_ce92</t>
  </si>
  <si>
    <t>AMOXAP_B_ai37</t>
  </si>
  <si>
    <t>AMOXAP_A_ab20</t>
  </si>
  <si>
    <t>AMOXAP_A_da47</t>
  </si>
  <si>
    <t>AMOXAP_A_fa65</t>
  </si>
  <si>
    <t>AMOXAP_B_af9</t>
  </si>
  <si>
    <t>AMOXAP_A_aq146</t>
  </si>
  <si>
    <t>AMOXAP_A_de12</t>
  </si>
  <si>
    <t>AMOXAP_B_cb168</t>
  </si>
  <si>
    <t>AMOXAP_A_am27</t>
  </si>
  <si>
    <t>AMOXAP_B_ai140</t>
  </si>
  <si>
    <t>AMOXAP_A_ak26</t>
  </si>
  <si>
    <t>AMOXAP_B_au141</t>
  </si>
  <si>
    <t>AMOXAP_B_ca131</t>
  </si>
  <si>
    <t>AMOXAP_B_aq23</t>
  </si>
  <si>
    <t>AMOXAP_B_cc118</t>
  </si>
  <si>
    <t>AMOXAP_B_dd142</t>
  </si>
  <si>
    <t>AMOXAP_A_aq14</t>
  </si>
  <si>
    <t>AMOXAP_A_ak75</t>
  </si>
  <si>
    <t>AMOXAP_B_de15</t>
  </si>
  <si>
    <t>AMOXAP_B_cd69</t>
  </si>
  <si>
    <t>AMOXAP_B_ai32</t>
  </si>
  <si>
    <t>AMOXAP_A_ap34</t>
  </si>
  <si>
    <t>AMOXAP_A_cc55</t>
  </si>
  <si>
    <t>AMOXAP_A_fc36 AMOXAP_B_fc36</t>
  </si>
  <si>
    <t>1.266256 1.270759</t>
  </si>
  <si>
    <t>0.649715 0.653381</t>
  </si>
  <si>
    <t>P21/c Pn</t>
  </si>
  <si>
    <t>AMOXAP_A_fc32</t>
  </si>
  <si>
    <t>AMOXAP_B_cb24</t>
  </si>
  <si>
    <t>AMOXAP_B_dd109</t>
  </si>
  <si>
    <t>AMOXAP_B_ar1</t>
  </si>
  <si>
    <t>AMOXAP_A_ar87</t>
  </si>
  <si>
    <t>Pnn2</t>
  </si>
  <si>
    <t>AMOXAP_A_cb124</t>
  </si>
  <si>
    <t>AMOXAP_B_ab164</t>
  </si>
  <si>
    <t>AMOXAP_A_dc135</t>
  </si>
  <si>
    <t>AMOXAP_B_cc112</t>
  </si>
  <si>
    <t>AMOXAP_B_aq128</t>
  </si>
  <si>
    <t>AMOXAP_A_fa44</t>
  </si>
  <si>
    <t>AMOXAP_A_dd115</t>
  </si>
  <si>
    <t>AMOXAP_B_ce72</t>
  </si>
  <si>
    <t>AMOXAP_A_av55</t>
  </si>
  <si>
    <t>AMOXAP_A_dd72</t>
  </si>
  <si>
    <t>AMOXAP_B_ai137</t>
  </si>
  <si>
    <t>AMOXAP_A_af70</t>
  </si>
  <si>
    <t>AMOXAP_B_ab149</t>
  </si>
  <si>
    <t>AMOXAP_B_ah29</t>
  </si>
  <si>
    <t>AMOXAP_B_ak65</t>
  </si>
  <si>
    <t>AMOXAP_A_aq63</t>
  </si>
  <si>
    <t>AMOXAP_B_af72</t>
  </si>
  <si>
    <t>AMOXAP_A_av93</t>
  </si>
  <si>
    <t>AMOXAP_A_de66</t>
  </si>
  <si>
    <t>AMOXAP_A_fa62 AMOXAP_B_fa62</t>
  </si>
  <si>
    <t>1.271580 1.248528</t>
  </si>
  <si>
    <t>0.650931 0.639939</t>
  </si>
  <si>
    <t>AMOXAP_A_ak118</t>
  </si>
  <si>
    <t>AMOXAP_A_ah22</t>
  </si>
  <si>
    <t>AMOXAP_B_ce64</t>
  </si>
  <si>
    <t>AMOXAP_A_af93</t>
  </si>
  <si>
    <t>AMOXAP_A_af113</t>
  </si>
  <si>
    <t>AMOXAP_B_am21</t>
  </si>
  <si>
    <t>AMOXAP_A_de99</t>
  </si>
  <si>
    <t>AMOXAP_A_ca90</t>
  </si>
  <si>
    <t>AMOXAP_A_au30</t>
  </si>
  <si>
    <t>AMOXAP_A_aq44</t>
  </si>
  <si>
    <t>AMOXAP_A_ca108</t>
  </si>
  <si>
    <t>AMOXAP_B_da122</t>
  </si>
  <si>
    <t>AMOXAP_A_bd84</t>
  </si>
  <si>
    <t>AMOXAP_A_dd31</t>
  </si>
  <si>
    <t>AMOXAP_A_cc76</t>
  </si>
  <si>
    <t>AMOXAP_B_cd7</t>
  </si>
  <si>
    <t>AMOXAP_B_ab144</t>
  </si>
  <si>
    <t>AMOXAP_B_bd26</t>
  </si>
  <si>
    <t>AMOXAP_A_cb150 AMOXAP_B_cb150</t>
  </si>
  <si>
    <t>1.279235 1.228481</t>
  </si>
  <si>
    <t>0.657377 0.628345</t>
  </si>
  <si>
    <t>AMOXAP_A_cb40 AMOXAP_B_cb40</t>
  </si>
  <si>
    <t>1.225927 1.285135</t>
  </si>
  <si>
    <t>0.630555 0.659548</t>
  </si>
  <si>
    <t>Pbca P1121/a</t>
  </si>
  <si>
    <t>AMOXAP_A_ca22</t>
  </si>
  <si>
    <t>AMOXAP_A_ak44 AMOXAP_B_ak44</t>
  </si>
  <si>
    <t>1.256817 1.228153</t>
  </si>
  <si>
    <t>0.645387 0.628486</t>
  </si>
  <si>
    <t>AMOXAP_A_au111</t>
  </si>
  <si>
    <t>AMOXAP_B_ca116</t>
  </si>
  <si>
    <t>AMOXAP_A_ak66 AMOXAP_B_ak66</t>
  </si>
  <si>
    <t>1.270099 1.260438</t>
  </si>
  <si>
    <t>-134.373 0</t>
  </si>
  <si>
    <t>0.650656 0.644981</t>
  </si>
  <si>
    <t>AMOXAP_B_dc18</t>
  </si>
  <si>
    <t>AMOXAP_A_fc14</t>
  </si>
  <si>
    <t>AMOXAP_A_az68</t>
  </si>
  <si>
    <t>AMOXAP_A_am26</t>
  </si>
  <si>
    <t>AMOXAP_B_am111</t>
  </si>
  <si>
    <t>AMOXAP_B_db104</t>
  </si>
  <si>
    <t>AMOXAP_A_aq30</t>
  </si>
  <si>
    <t>AMOXAP_B_cb122</t>
  </si>
  <si>
    <t>AMOXAP_A_dc147</t>
  </si>
  <si>
    <t>AMOXAP_A_al21</t>
  </si>
  <si>
    <t>AMOXAP_B_ay109</t>
  </si>
  <si>
    <t>AMOXAP_A_ah79</t>
  </si>
  <si>
    <t>AMOXAP_A_cb126</t>
  </si>
  <si>
    <t>AMOXAP_A_ai35 AMOXAP_B_ai35</t>
  </si>
  <si>
    <t>1.264863 1.254283</t>
  </si>
  <si>
    <t>0.648572 0.645082</t>
  </si>
  <si>
    <t>AMOXAP_B_bd13</t>
  </si>
  <si>
    <t>AMOXAP_A_de97</t>
  </si>
  <si>
    <t>AMOXAP_A_af79</t>
  </si>
  <si>
    <t>AMOXAP_A_ap17</t>
  </si>
  <si>
    <t>AMOXAP_B_ce93</t>
  </si>
  <si>
    <t>AMOXAP_A_aq31</t>
  </si>
  <si>
    <t>AMOXAP_A_dc19</t>
  </si>
  <si>
    <t>AMOXAP_B_ad7</t>
  </si>
  <si>
    <t>AMOXAP_A_dc85 AMOXAP_B_dc85</t>
  </si>
  <si>
    <t>1.270321 1.236828</t>
  </si>
  <si>
    <t>0.651357 0.632561</t>
  </si>
  <si>
    <t>AMOXAP_A_de35</t>
  </si>
  <si>
    <t>AMOXAP_A_aq60</t>
  </si>
  <si>
    <t>AMOXAP_A_cd58</t>
  </si>
  <si>
    <t>AMOXAP_B_ak124</t>
  </si>
  <si>
    <t>AMOXAP_A_au110</t>
  </si>
  <si>
    <t>AMOXAP_A_au150</t>
  </si>
  <si>
    <t>AMOXAP_A_db58</t>
  </si>
  <si>
    <t>AMOXAP_B_cb187</t>
  </si>
  <si>
    <t>AMOXAP_A_av92</t>
  </si>
  <si>
    <t>AMOXAP_A_bh99</t>
  </si>
  <si>
    <t>AMOXAP_A_bd4</t>
  </si>
  <si>
    <t>AMOXAP_A_fc72</t>
  </si>
  <si>
    <t>AMOXAP_A_am67</t>
  </si>
  <si>
    <t>AMOXAP_A_fc30</t>
  </si>
  <si>
    <t>AMOXAP_A_cc2</t>
  </si>
  <si>
    <t>AMOXAP_A_aq59</t>
  </si>
  <si>
    <t>AMOXAP_A_ai61</t>
  </si>
  <si>
    <t>AMOXAP_A_fc70</t>
  </si>
  <si>
    <t>AMOXAP_A_aq94 AMOXAP_B_aq94</t>
  </si>
  <si>
    <t>1.250065 1.249293</t>
  </si>
  <si>
    <t>0.64113 0.640449</t>
  </si>
  <si>
    <t>AMOXAP_A_ak77</t>
  </si>
  <si>
    <t>AMOXAP_A_de113 AMOXAP_B_de113</t>
  </si>
  <si>
    <t>1.291947 1.290123</t>
  </si>
  <si>
    <t>0.661608 0.662243</t>
  </si>
  <si>
    <t>AMOXAP_B_az126</t>
  </si>
  <si>
    <t>AMOXAP_A_cc44</t>
  </si>
  <si>
    <t>AMOXAP_A_al117</t>
  </si>
  <si>
    <t>AMOXAP_B_cc62</t>
  </si>
  <si>
    <t>AMOXAP_B_fa106</t>
  </si>
  <si>
    <t>AMOXAP_B_cb21</t>
  </si>
  <si>
    <t>AMOXAP_A_az17</t>
  </si>
  <si>
    <t>AMOXAP_A_dc133</t>
  </si>
  <si>
    <t>AMOXAP_A_am1 AMOXAP_B_am1</t>
  </si>
  <si>
    <t>1.312520 1.266134</t>
  </si>
  <si>
    <t>0.67329 0.649328</t>
  </si>
  <si>
    <t>AMOXAP_A_av82</t>
  </si>
  <si>
    <t>AMOXAP_B_dd30</t>
  </si>
  <si>
    <t>AMOXAP_B_ai102</t>
  </si>
  <si>
    <t>AMOXAP_A_ca92 AMOXAP_B_ca92</t>
  </si>
  <si>
    <t>1.299738 1.297953</t>
  </si>
  <si>
    <t>0.666874 0.669097</t>
  </si>
  <si>
    <t>AMOXAP_A_az122</t>
  </si>
  <si>
    <t>AMOXAP_B_db46</t>
  </si>
  <si>
    <t>AMOXAP_A_bf40</t>
  </si>
  <si>
    <t>AMOXAP_A_bf25 AMOXAP_B_bf25</t>
  </si>
  <si>
    <t>1.276798 1.266007</t>
  </si>
  <si>
    <t>0.654451 0.650044</t>
  </si>
  <si>
    <t>Pna21 Pna21</t>
  </si>
  <si>
    <t>AMOXAP_A_ay81</t>
  </si>
  <si>
    <t>AMOXAP_A_dd33</t>
  </si>
  <si>
    <t>AMOXAP_B_ak106</t>
  </si>
  <si>
    <t>AMOXAP_B_av78</t>
  </si>
  <si>
    <t>AMOXAP_A_ai106</t>
  </si>
  <si>
    <t>AMOXAP_A_am156</t>
  </si>
  <si>
    <t>AMOXAP_B_da111</t>
  </si>
  <si>
    <t>AMOXAP_A_fa43</t>
  </si>
  <si>
    <t>AMOXAP_B_ad24</t>
  </si>
  <si>
    <t>AMOXAP_A_ak15</t>
  </si>
  <si>
    <t>AMOXAP_B_ab120</t>
  </si>
  <si>
    <t>AMOXAP_A_cb114</t>
  </si>
  <si>
    <t>AMOXAP_A_al12</t>
  </si>
  <si>
    <t>AMOXAP_A_af3</t>
  </si>
  <si>
    <t>AMOXAP_A_bf62</t>
  </si>
  <si>
    <t>AMOXAP_A_af77</t>
  </si>
  <si>
    <t>AMOXAP_B_de151</t>
  </si>
  <si>
    <t>AMOXAP_A_ah25</t>
  </si>
  <si>
    <t>AMOXAP_A_al10</t>
  </si>
  <si>
    <t>AMOXAP_A_cb98</t>
  </si>
  <si>
    <t>AMOXAP_A_am23</t>
  </si>
  <si>
    <t>AMOXAP_A_fc119</t>
  </si>
  <si>
    <t>AMOXAP_B_ai105</t>
  </si>
  <si>
    <t>AMOXAP_A_fc61</t>
  </si>
  <si>
    <t>AMOXAP_A_cd74</t>
  </si>
  <si>
    <t>AMOXAP_A_dd78</t>
  </si>
  <si>
    <t>AMOXAP_A_ap12</t>
  </si>
  <si>
    <t>AMOXAP_A_dc110</t>
  </si>
  <si>
    <t>AMOXAP_A_dd93</t>
  </si>
  <si>
    <t>AMOXAP_A_fc40</t>
  </si>
  <si>
    <t>AMOXAP_A_cb76</t>
  </si>
  <si>
    <t>AMOXAP_B_db27</t>
  </si>
  <si>
    <t>AMOXAP_A_am69</t>
  </si>
  <si>
    <t>AMOXAP_A_cc52</t>
  </si>
  <si>
    <t>AMOXAP_A_dc21</t>
  </si>
  <si>
    <t>AMOXAP_A_bf14</t>
  </si>
  <si>
    <t>Pn11</t>
  </si>
  <si>
    <t>AMOXAP_A_ce83</t>
  </si>
  <si>
    <t>AMOXAP_A_ap127</t>
  </si>
  <si>
    <t>AMOXAP_A_am71 AMOXAP_B_am71</t>
  </si>
  <si>
    <t>1.280466 1.297060</t>
  </si>
  <si>
    <t>0.656139 0.664103</t>
  </si>
  <si>
    <t>AMOXAP_B_ce91</t>
  </si>
  <si>
    <t>AMOXAP_A_fc41 AMOXAP_B_fc41</t>
  </si>
  <si>
    <t>1.279746 1.241063</t>
  </si>
  <si>
    <t>0.658318 0.637789</t>
  </si>
  <si>
    <t>AMOXAP_A_bg6</t>
  </si>
  <si>
    <t>AMOXAP_B_cc17</t>
  </si>
  <si>
    <t>AMOXAP_A_cb91 AMOXAP_B_cb91</t>
  </si>
  <si>
    <t>1.262005 1.245634</t>
  </si>
  <si>
    <t>0.646969 0.635236</t>
  </si>
  <si>
    <t>AMOXAP_A_au108</t>
  </si>
  <si>
    <t>AMOXAP_B_cb105</t>
  </si>
  <si>
    <t>AMOXAP_A_am115 AMOXAP_B_am115</t>
  </si>
  <si>
    <t>1.256381 1.284719</t>
  </si>
  <si>
    <t>0.642562 0.656999</t>
  </si>
  <si>
    <t>AMOXAP_A_cd44</t>
  </si>
  <si>
    <t>AMOXAP_A_ak63</t>
  </si>
  <si>
    <t>AMOXAP_A_ak95 AMOXAP_B_ak95</t>
  </si>
  <si>
    <t>1.259407 1.242627</t>
  </si>
  <si>
    <t>0.645364 0.637435</t>
  </si>
  <si>
    <t>AMOXAP_B_ay37</t>
  </si>
  <si>
    <t>AMOXAP_A_aq113</t>
  </si>
  <si>
    <t>AMOXAP_B_dc102</t>
  </si>
  <si>
    <t>AMOXAP_A_fc130</t>
  </si>
  <si>
    <t>AMOXAP_A_am78</t>
  </si>
  <si>
    <t>AMOXAP_A_cc15</t>
  </si>
  <si>
    <t>AMOXAP_B_da8</t>
  </si>
  <si>
    <t>AMOXAP_A_av24</t>
  </si>
  <si>
    <t>AMOXAP_A_dd129 AMOXAP_B_dd129</t>
  </si>
  <si>
    <t>1.242393 1.304483</t>
  </si>
  <si>
    <t>0.633912 0.668532</t>
  </si>
  <si>
    <t>AMOXAP_B_af85</t>
  </si>
  <si>
    <t>AMOXAP_A_db88</t>
  </si>
  <si>
    <t>AMOXAP_A_da3</t>
  </si>
  <si>
    <t>AMOXAP_A_ai34</t>
  </si>
  <si>
    <t>AMOXAP_B_am116</t>
  </si>
  <si>
    <t>AMOXAP_A_ba96</t>
  </si>
  <si>
    <t>AMOXAP_A_fc6 AMOXAP_B_fc6</t>
  </si>
  <si>
    <t>1.233351 1.256923</t>
  </si>
  <si>
    <t>0.631486 0.641518</t>
  </si>
  <si>
    <t>AMOXAP_A_ab131</t>
  </si>
  <si>
    <t>AMOXAP_B_ca157</t>
  </si>
  <si>
    <t>AMOXAP_A_da10</t>
  </si>
  <si>
    <t>AMOXAP_A_bf120</t>
  </si>
  <si>
    <t>AMOXAP_A_ai38 AMOXAP_B_ai38</t>
  </si>
  <si>
    <t>1.270357 1.250694</t>
  </si>
  <si>
    <t>0.650455 0.640975</t>
  </si>
  <si>
    <t>AMOXAP_A_cd133</t>
  </si>
  <si>
    <t>AMOXAP_A_af22</t>
  </si>
  <si>
    <t>AMOXAP_A_au148</t>
  </si>
  <si>
    <t>AMOXAP_A_aq152</t>
  </si>
  <si>
    <t>AMOXAP_B_am98</t>
  </si>
  <si>
    <t>AMOXAP_A_aq16 AMOXAP_B_aq16</t>
  </si>
  <si>
    <t>1.275827 1.288089</t>
  </si>
  <si>
    <t>0.654576 0.660265</t>
  </si>
  <si>
    <t>AMOXAP_A_ay43</t>
  </si>
  <si>
    <t>Pc11</t>
  </si>
  <si>
    <t>AMOXAP_A_bj59</t>
  </si>
  <si>
    <t>AMOXAP_B_af62</t>
  </si>
  <si>
    <t>AMOXAP_B_aq2</t>
  </si>
  <si>
    <t>AMOXAP_A_ai26</t>
  </si>
  <si>
    <t>AMOXAP_A_al43</t>
  </si>
  <si>
    <t>AMOXAP_B_cd154</t>
  </si>
  <si>
    <t>AMOXAP_A_db20 AMOXAP_B_db20</t>
  </si>
  <si>
    <t>1.252894 1.230395</t>
  </si>
  <si>
    <t>0.643054 0.626032</t>
  </si>
  <si>
    <t>AMOXAP_A_ak59</t>
  </si>
  <si>
    <t>AMOXAP_A_de19</t>
  </si>
  <si>
    <t>AMOXAP_A_ap67</t>
  </si>
  <si>
    <t>AMOXAP_A_cb113</t>
  </si>
  <si>
    <t>AMOXAP_A_cc85</t>
  </si>
  <si>
    <t>AMOXAP_B_cd96</t>
  </si>
  <si>
    <t>AMOXAP_A_af21 AMOXAP_B_af21</t>
  </si>
  <si>
    <t>1.282314 1.261710</t>
  </si>
  <si>
    <t>0.660114 0.646638</t>
  </si>
  <si>
    <t>P21 P21</t>
  </si>
  <si>
    <t>AMOXAP_A_am109 AMOXAP_B_am109</t>
  </si>
  <si>
    <t>1.288511 1.254989</t>
  </si>
  <si>
    <t>0.658909 0.643072</t>
  </si>
  <si>
    <t>AMOXAP_B_af27</t>
  </si>
  <si>
    <t>AMOXAP_A_cd99</t>
  </si>
  <si>
    <t>AMOXAP_B_fa109</t>
  </si>
  <si>
    <t>AMOXAP_A_am17</t>
  </si>
  <si>
    <t>AMOXAP_A_de114 AMOXAP_B_de114</t>
  </si>
  <si>
    <t>1.248335 1.238434</t>
  </si>
  <si>
    <t>0.640445 0.636598</t>
  </si>
  <si>
    <t>AMOXAP_A_fc22</t>
  </si>
  <si>
    <t>AMOXAP_A_cb131</t>
  </si>
  <si>
    <t>AMOXAP_A_de36 AMOXAP_B_de36</t>
  </si>
  <si>
    <t>1.272894 1.242546</t>
  </si>
  <si>
    <t>0.652163 0.635901</t>
  </si>
  <si>
    <t>AMOXAP_B_ab105</t>
  </si>
  <si>
    <t>AMOXAP_B_fa26</t>
  </si>
  <si>
    <t>AMOXAP_A_ca111</t>
  </si>
  <si>
    <t>AMOXAP_B_bh63</t>
  </si>
  <si>
    <t>AMOXAP_A_ab111</t>
  </si>
  <si>
    <t>AMOXAP_A_ca150</t>
  </si>
  <si>
    <t>AMOXAP_A_fc140</t>
  </si>
  <si>
    <t>AMOXAP_A_de37</t>
  </si>
  <si>
    <t>AMOXAP_A_am62 AMOXAP_B_am62</t>
  </si>
  <si>
    <t>1.251264 1.263499</t>
  </si>
  <si>
    <t>0.641431 0.647394</t>
  </si>
  <si>
    <t>AMOXAP_A_fa67</t>
  </si>
  <si>
    <t>AMOXAP_A_ca148</t>
  </si>
  <si>
    <t>AMOXAP_A_de26</t>
  </si>
  <si>
    <t>AMOXAP_A_db35</t>
  </si>
  <si>
    <t>AMOXAP_B_de134</t>
  </si>
  <si>
    <t>AMOXAP_B_ak14</t>
  </si>
  <si>
    <t>AMOXAP_A_ab101</t>
  </si>
  <si>
    <t>AMOXAP_A_db4</t>
  </si>
  <si>
    <t>AMOXAP_A_aw99</t>
  </si>
  <si>
    <t>Pb11</t>
  </si>
  <si>
    <t>AMOXAP_A_be8</t>
  </si>
  <si>
    <t>AMOXAP_A_ce52</t>
  </si>
  <si>
    <t>AMOXAP_B_az59</t>
  </si>
  <si>
    <t>AMOXAP_A_az87</t>
  </si>
  <si>
    <t>AMOXAP_A_fc80</t>
  </si>
  <si>
    <t>AMOXAP_A_aj39</t>
  </si>
  <si>
    <t>AMOXAP_A_al112</t>
  </si>
  <si>
    <t>AMOXAP_A_cb46</t>
  </si>
  <si>
    <t>AMOXAP_B_ca96</t>
  </si>
  <si>
    <t>AMOXAP_B_ca106</t>
  </si>
  <si>
    <t>AMOXAP_A_ai123</t>
  </si>
  <si>
    <t>AMOXAP_A_ba53</t>
  </si>
  <si>
    <t>AMOXAP_B_am76</t>
  </si>
  <si>
    <t>AMOXAP_A_am99 AMOXAP_B_am99</t>
  </si>
  <si>
    <t>1.282535 1.288484</t>
  </si>
  <si>
    <t>0.65912 0.661269</t>
  </si>
  <si>
    <t>AMOXAP_B_bh40</t>
  </si>
  <si>
    <t>AMOXAP_A_fa87</t>
  </si>
  <si>
    <t>AMOXAP_A_ca42</t>
  </si>
  <si>
    <t>AMOXAP_A_cd157</t>
  </si>
  <si>
    <t>AMOXAP_A_dd62</t>
  </si>
  <si>
    <t>AMOXAP_B_da51</t>
  </si>
  <si>
    <t>AMOXAP_A_dd77</t>
  </si>
  <si>
    <t>AMOXAP_A_af58</t>
  </si>
  <si>
    <t>AMOXAP_A_de102</t>
  </si>
  <si>
    <t>AMOXAP_A_ai91</t>
  </si>
  <si>
    <t>AMOXAP_A_am124</t>
  </si>
  <si>
    <t>AMOXAP_A_ai83</t>
  </si>
  <si>
    <t>AMOXAP_A_dd63</t>
  </si>
  <si>
    <t>AMOXAP_A_ad45</t>
  </si>
  <si>
    <t>AMOXAP_A_cb27 AMOXAP_B_cb27</t>
  </si>
  <si>
    <t>1.267312 1.280325</t>
  </si>
  <si>
    <t>0.649341 0.655328</t>
  </si>
  <si>
    <t>AMOXAP_B_af107</t>
  </si>
  <si>
    <t>AMOXAP_A_ai119</t>
  </si>
  <si>
    <t>AMOXAP_A_ad16</t>
  </si>
  <si>
    <t>AMOXAP_A_ap47</t>
  </si>
  <si>
    <t>AMOXAP_A_cc95</t>
  </si>
  <si>
    <t>AMOXAP_A_bf43</t>
  </si>
  <si>
    <t>AMOXAP_B_da87</t>
  </si>
  <si>
    <t>AMOXAP_B_de42</t>
  </si>
  <si>
    <t>AMOXAP_A_aw93</t>
  </si>
  <si>
    <t>AMOXAP_A_fc113</t>
  </si>
  <si>
    <t>AMOXAP_A_de34</t>
  </si>
  <si>
    <t>AMOXAP_A_cd4</t>
  </si>
  <si>
    <t>AMOXAP_B_ak149</t>
  </si>
  <si>
    <t>AMOXAP_A_de94</t>
  </si>
  <si>
    <t>AMOXAP_A_cd83</t>
  </si>
  <si>
    <t>AMOXAP_A_ai96</t>
  </si>
  <si>
    <t>AMOXAP_A_fc98</t>
  </si>
  <si>
    <t>AMOXAP_B_cd46</t>
  </si>
  <si>
    <t>AMOXAP_A_bh18</t>
  </si>
  <si>
    <t>AMOXAP_A_dc98</t>
  </si>
  <si>
    <t>AMOXAP_A_bf71</t>
  </si>
  <si>
    <t>AMOXAP_A_cb20</t>
  </si>
  <si>
    <t>AMOXAP_A_bj88</t>
  </si>
  <si>
    <t>AMOXAP_A_ai25</t>
  </si>
  <si>
    <t>AMOXAP_A_de118 AMOXAP_B_de118</t>
  </si>
  <si>
    <t>1.241730 1.286756</t>
  </si>
  <si>
    <t>0.635582 0.658625</t>
  </si>
  <si>
    <t>AMOXAP_A_fa45 AMOXAP_B_fa45</t>
  </si>
  <si>
    <t>1.223500 1.272245</t>
  </si>
  <si>
    <t>0.630455 0.652229</t>
  </si>
  <si>
    <t>AMOXAP_A_bd83</t>
  </si>
  <si>
    <t>AMOXAP_B_dd7</t>
  </si>
  <si>
    <t>AMOXAP_B_ar96</t>
  </si>
  <si>
    <t>AMOXAP_A_bh15</t>
  </si>
  <si>
    <t>AMOXAP_B_da95</t>
  </si>
  <si>
    <t>AMOXAP_B_ai9</t>
  </si>
  <si>
    <t>AMOXAP_B_bh87</t>
  </si>
  <si>
    <t>AMOXAP_B_db48</t>
  </si>
  <si>
    <t>AMOXAP_A_au41</t>
  </si>
  <si>
    <t>AMOXAP_A_ab24</t>
  </si>
  <si>
    <t>AMOXAP_A_cb165</t>
  </si>
  <si>
    <t>AMOXAP_A_ay60</t>
  </si>
  <si>
    <t>AMOXAP_A_cd62</t>
  </si>
  <si>
    <t>AMOXAP_A_ce124</t>
  </si>
  <si>
    <t>AMOXAP_A_db34</t>
  </si>
  <si>
    <t>AMOXAP_B_cb138</t>
  </si>
  <si>
    <t>AMOXAP_B_ca146</t>
  </si>
  <si>
    <t>AMOXAP_B_fa6</t>
  </si>
  <si>
    <t>AMOXAP_A_al91</t>
  </si>
  <si>
    <t>AMOXAP_A_af40</t>
  </si>
  <si>
    <t>AMOXAP_A_fa69</t>
  </si>
  <si>
    <t>AMOXAP_B_az7</t>
  </si>
  <si>
    <t>AMOXAP_A_ah113</t>
  </si>
  <si>
    <t>AMOXAP_A_de101 AMOXAP_B_de101</t>
  </si>
  <si>
    <t>1.248942 1.266352</t>
  </si>
  <si>
    <t>0.641248 0.648933</t>
  </si>
  <si>
    <t>AMOXAP_A_ab142 AMOXAP_B_ab142</t>
  </si>
  <si>
    <t>1.246690 1.260798</t>
  </si>
  <si>
    <t>0.636899 0.647364</t>
  </si>
  <si>
    <t>AMOXAP_A_de46</t>
  </si>
  <si>
    <t>AMOXAP_B_fa42</t>
  </si>
  <si>
    <t>AMOXAP_B_aq34</t>
  </si>
  <si>
    <t>AMOXAP_A_au18</t>
  </si>
  <si>
    <t>AMOXAP_A_cb130</t>
  </si>
  <si>
    <t>AMOXAP_A_ad35</t>
  </si>
  <si>
    <t>AMOXAP_A_bh103</t>
  </si>
  <si>
    <t>AMOXAP_A_ab118</t>
  </si>
  <si>
    <t>AMOXAP_A_ba81</t>
  </si>
  <si>
    <t>AMOXAP_A_cd10</t>
  </si>
  <si>
    <t>AMOXAP_A_af97</t>
  </si>
  <si>
    <t>AMOXAP_A_ai54</t>
  </si>
  <si>
    <t>AMOXAP_A_dd2</t>
  </si>
  <si>
    <t>AMOXAP_A_ak142 AMOXAP_B_ak142</t>
  </si>
  <si>
    <t>1.255797 1.235703</t>
  </si>
  <si>
    <t>0.642612 0.633915</t>
  </si>
  <si>
    <t>AMOXAP_A_au83</t>
  </si>
  <si>
    <t>AMOXAP_A_fa55</t>
  </si>
  <si>
    <t>AMOXAP_A_ai81</t>
  </si>
  <si>
    <t>AMOXAP_A_fa3</t>
  </si>
  <si>
    <t>AMOXAP_A_cb163 AMOXAP_B_cb163</t>
  </si>
  <si>
    <t>1.251905 1.268275</t>
  </si>
  <si>
    <t>0.641479 0.652428</t>
  </si>
  <si>
    <t>AMOXAP_A_de127</t>
  </si>
  <si>
    <t>AMOXAP_B_dd134</t>
  </si>
  <si>
    <t>AMOXAP_A_fa46 AMOXAP_B_fa46</t>
  </si>
  <si>
    <t>1.227578 1.301348</t>
  </si>
  <si>
    <t>0.633916 0.666652</t>
  </si>
  <si>
    <t>AMOXAP_A_ce17</t>
  </si>
  <si>
    <t>AMOXAP_A_ak60</t>
  </si>
  <si>
    <t>AMOXAP_A_ay129</t>
  </si>
  <si>
    <t>AMOXAP_B_cd75</t>
  </si>
  <si>
    <t>AMOXAP_A_ca127</t>
  </si>
  <si>
    <t>AMOXAP_A_ca142 AMOXAP_B_ca142</t>
  </si>
  <si>
    <t>1.253879 1.254073</t>
  </si>
  <si>
    <t>0.644317 0.639256</t>
  </si>
  <si>
    <t>AMOXAP_A_bd127</t>
  </si>
  <si>
    <t>AMOXAP_A_dc117</t>
  </si>
  <si>
    <t>AMOXAP_A_ca144 AMOXAP_B_ca144</t>
  </si>
  <si>
    <t>1.253349 1.266159</t>
  </si>
  <si>
    <t>0.644353 0.650669</t>
  </si>
  <si>
    <t>AMOXAP_B_ah50</t>
  </si>
  <si>
    <t>AMOXAP_B_ce27</t>
  </si>
  <si>
    <t>AMOXAP_A_cd1</t>
  </si>
  <si>
    <t>AMOXAP_B_de91</t>
  </si>
  <si>
    <t>AMOXAP_B_cc83</t>
  </si>
  <si>
    <t>AMOXAP_A_de115</t>
  </si>
  <si>
    <t>AMOXAP_A_db24</t>
  </si>
  <si>
    <t>AMOXAP_A_de160</t>
  </si>
  <si>
    <t>AMOXAP_A_am93</t>
  </si>
  <si>
    <t>AMOXAP_A_al22</t>
  </si>
  <si>
    <t>AMOXAP_A_cd93</t>
  </si>
  <si>
    <t>AMOXAP_A_da17</t>
  </si>
  <si>
    <t>AMOXAP_B_ad78</t>
  </si>
  <si>
    <t>AMOXAP_A_ai136</t>
  </si>
  <si>
    <t>AMOXAP_A_ai92 AMOXAP_B_ai92</t>
  </si>
  <si>
    <t>1.237905 1.230247</t>
  </si>
  <si>
    <t>0.635901 0.630467</t>
  </si>
  <si>
    <t>AMOXAP_B_ce13</t>
  </si>
  <si>
    <t>AMOXAP_A_am51 AMOXAP_B_am51</t>
  </si>
  <si>
    <t>1.259031 1.310347</t>
  </si>
  <si>
    <t>0.644961 0.673863</t>
  </si>
  <si>
    <t>AMOXAP_A_cc22 AMOXAP_B_cc22</t>
  </si>
  <si>
    <t>1.228992 1.270427</t>
  </si>
  <si>
    <t>0.632473 0.651306</t>
  </si>
  <si>
    <t>AMOXAP_A_am87 AMOXAP_B_am87</t>
  </si>
  <si>
    <t>1.285181 1.279091</t>
  </si>
  <si>
    <t>0.658107 0.655131</t>
  </si>
  <si>
    <t>AMOXAP_A_ap2</t>
  </si>
  <si>
    <t>AMOXAP_A_aj102</t>
  </si>
  <si>
    <t>AMOXAP_A_dc95</t>
  </si>
  <si>
    <t>AMOXAP_A_ai109</t>
  </si>
  <si>
    <t>AMOXAP_B_fa78</t>
  </si>
  <si>
    <t>AMOXAP_A_ba101</t>
  </si>
  <si>
    <t>AMOXAP_A_az117 AMOXAP_B_az117</t>
  </si>
  <si>
    <t>1.214893 1.254521</t>
  </si>
  <si>
    <t>0.622252 0.642664</t>
  </si>
  <si>
    <t>AMOXAP_A_al65</t>
  </si>
  <si>
    <t>AMOXAP_A_dd36</t>
  </si>
  <si>
    <t>AMOXAP_B_bd58</t>
  </si>
  <si>
    <t>AMOXAP_B_cc14</t>
  </si>
  <si>
    <t>AMOXAP_A_al35</t>
  </si>
  <si>
    <t>AMOXAP_A_fc120</t>
  </si>
  <si>
    <t>AMOXAP_B_ap144</t>
  </si>
  <si>
    <t>AMOXAP_A_af45</t>
  </si>
  <si>
    <t>AMOXAP_B_ak84</t>
  </si>
  <si>
    <t>AMOXAP_A_de96</t>
  </si>
  <si>
    <t>AMOXAP_B_de85</t>
  </si>
  <si>
    <t>AMOXAP_A_cc39</t>
  </si>
  <si>
    <t>AMOXAP_A_am59 AMOXAP_B_am59</t>
  </si>
  <si>
    <t>1.279591 1.272235</t>
  </si>
  <si>
    <t>0.656496 0.650765</t>
  </si>
  <si>
    <t>AMOXAP_A_az110</t>
  </si>
  <si>
    <t>AMOXAP_A_ak128</t>
  </si>
  <si>
    <t>AMOXAP_A_au1</t>
  </si>
  <si>
    <t>AMOXAP_A_fc139</t>
  </si>
  <si>
    <t>AMOXAP_A_ab123</t>
  </si>
  <si>
    <t>AMOXAP_A_av22</t>
  </si>
  <si>
    <t>AMOXAP_B_ca52</t>
  </si>
  <si>
    <t>AMOXAP_A_db125</t>
  </si>
  <si>
    <t>AMOXAP_A_av139</t>
  </si>
  <si>
    <t>AMOXAP_A_dd81 AMOXAP_B_dd81</t>
  </si>
  <si>
    <t>1.250105 1.223828</t>
  </si>
  <si>
    <t>0.64067 0.625187</t>
  </si>
  <si>
    <t>AMOXAP_A_ak22</t>
  </si>
  <si>
    <t>AMOXAP_A_ai80</t>
  </si>
  <si>
    <t>AMOXAP_A_ai121 AMOXAP_B_ai121</t>
  </si>
  <si>
    <t>1.239113 1.240783</t>
  </si>
  <si>
    <t>0.637733 0.636284</t>
  </si>
  <si>
    <t>AMOXAP_B_az58</t>
  </si>
  <si>
    <t>AMOXAP_A_ce121</t>
  </si>
  <si>
    <t>AMOXAP_A_ce134</t>
  </si>
  <si>
    <t>P21cn</t>
  </si>
  <si>
    <t>AMOXAP_B_da79</t>
  </si>
  <si>
    <t>AMOXAP_A_ak24</t>
  </si>
  <si>
    <t>AMOXAP_B_ah80</t>
  </si>
  <si>
    <t>AMOXAP_A_dc23</t>
  </si>
  <si>
    <t>AMOXAP_A_da70</t>
  </si>
  <si>
    <t>AMOXAP_B_fa80</t>
  </si>
  <si>
    <t>AMOXAP_A_dd61</t>
  </si>
  <si>
    <t>AMOXAP_A_cb129 AMOXAP_B_cb129</t>
  </si>
  <si>
    <t>1.274680 1.256587</t>
  </si>
  <si>
    <t>0.653948 0.642498</t>
  </si>
  <si>
    <t>AMOXAP_A_dc25</t>
  </si>
  <si>
    <t>AMOXAP_A_cc128</t>
  </si>
  <si>
    <t>AMOXAP_A_ad85</t>
  </si>
  <si>
    <t>AMOXAP_A_dc59</t>
  </si>
  <si>
    <t>AMOXAP_A_aq99</t>
  </si>
  <si>
    <t>AMOXAP_A_ad18</t>
  </si>
  <si>
    <t>AMOXAP_A_ar70</t>
  </si>
  <si>
    <t>AMOXAP_B_ay106</t>
  </si>
  <si>
    <t>AMOXAP_B_cd59</t>
  </si>
  <si>
    <t>AMOXAP_A_ak96 AMOXAP_B_ak96</t>
  </si>
  <si>
    <t>1.240830 1.217223</t>
  </si>
  <si>
    <t>0.638414 0.625988</t>
  </si>
  <si>
    <t>AMOXAP_A_ak104</t>
  </si>
  <si>
    <t>AMOXAP_B_ai84</t>
  </si>
  <si>
    <t>AMOXAP_A_fc42 AMOXAP_B_fc42</t>
  </si>
  <si>
    <t>1.270004 1.251841</t>
  </si>
  <si>
    <t>0.651493 0.639654</t>
  </si>
  <si>
    <t>AMOXAP_B_am147</t>
  </si>
  <si>
    <t>AMOXAP_A_bf74</t>
  </si>
  <si>
    <t>AMOXAP_A_bh36</t>
  </si>
  <si>
    <t>AMOXAP_A_db94</t>
  </si>
  <si>
    <t>AMOXAP_B_cc72</t>
  </si>
  <si>
    <t>AMOXAP_B_ak87</t>
  </si>
  <si>
    <t>AMOXAP_A_bj15</t>
  </si>
  <si>
    <t>AMOXAP_A_am47 AMOXAP_B_am47</t>
  </si>
  <si>
    <t>1.266295 1.333898</t>
  </si>
  <si>
    <t>0.650798 0.682183</t>
  </si>
  <si>
    <t>AMOXAP_A_bj19</t>
  </si>
  <si>
    <t>AMOXAP_A_dd136</t>
  </si>
  <si>
    <t>AMOXAP_A_de47 AMOXAP_B_de47</t>
  </si>
  <si>
    <t>1.263862 1.276255</t>
  </si>
  <si>
    <t>0.647926 0.655108</t>
  </si>
  <si>
    <t>AMOXAP_A_bj41</t>
  </si>
  <si>
    <t>AMOXAP_B_fc124</t>
  </si>
  <si>
    <t>AMOXAP_A_ay135</t>
  </si>
  <si>
    <t>AMOXAP_A_az125</t>
  </si>
  <si>
    <t>AMOXAP_A_db114</t>
  </si>
  <si>
    <t>AMOXAP_A_ar34</t>
  </si>
  <si>
    <t>AMOXAP_B_bb34</t>
  </si>
  <si>
    <t>AMOXAP_B_al29</t>
  </si>
  <si>
    <t>AMOXAP_A_ca121</t>
  </si>
  <si>
    <t>AMOXAP_A_ar52</t>
  </si>
  <si>
    <t>AMOXAP_B_cc80</t>
  </si>
  <si>
    <t>AMOXAP_A_az112</t>
  </si>
  <si>
    <t>AMOXAP_B_av20</t>
  </si>
  <si>
    <t>AMOXAP_B_av56</t>
  </si>
  <si>
    <t>AMOXAP_A_ai108</t>
  </si>
  <si>
    <t>AMOXAP_A_av46</t>
  </si>
  <si>
    <t>AMOXAP_A_ai153</t>
  </si>
  <si>
    <t>AMOXAP_B_ad83</t>
  </si>
  <si>
    <t>AMOXAP_B_ce20</t>
  </si>
  <si>
    <t>AMOXAP_A_ca151</t>
  </si>
  <si>
    <t>AMOXAP_A_fc96 AMOXAP_B_fc96</t>
  </si>
  <si>
    <t>1.192404 1.283993</t>
  </si>
  <si>
    <t>0.613264 0.661108</t>
  </si>
  <si>
    <t>AMOXAP_A_cb156</t>
  </si>
  <si>
    <t>AMOXAP_B_au55</t>
  </si>
  <si>
    <t>AMOXAP_B_ai142</t>
  </si>
  <si>
    <t>AMOXAP_A_av112</t>
  </si>
  <si>
    <t>AMOXAP_A_cc69</t>
  </si>
  <si>
    <t>AMOXAP_A_da78</t>
  </si>
  <si>
    <t>AMOXAP_B_ab141</t>
  </si>
  <si>
    <t>AMOXAP_B_de58</t>
  </si>
  <si>
    <t>AMOXAP_A_ak46</t>
  </si>
  <si>
    <t>AMOXAP_A_dd116</t>
  </si>
  <si>
    <t>AMOXAP_B_cc137</t>
  </si>
  <si>
    <t>AMOXAP_A_cd140</t>
  </si>
  <si>
    <t>AMOXAP_A_ay25</t>
  </si>
  <si>
    <t>AMOXAP_A_ad75</t>
  </si>
  <si>
    <t>AMOXAP_A_af68</t>
  </si>
  <si>
    <t>AMOXAP_B_db59</t>
  </si>
  <si>
    <t>AMOXAP_B_de81</t>
  </si>
  <si>
    <t>AMOXAP_A_cb61</t>
  </si>
  <si>
    <t>AMOXAP_A_ce106</t>
  </si>
  <si>
    <t>AMOXAP_A_fc33</t>
  </si>
  <si>
    <t>AMOXAP_A_az130</t>
  </si>
  <si>
    <t>AMOXAP_A_ca24</t>
  </si>
  <si>
    <t>AMOXAP_A_db133</t>
  </si>
  <si>
    <t>AMOXAP_A_fa30</t>
  </si>
  <si>
    <t>AMOXAP_A_af49</t>
  </si>
  <si>
    <t>AMOXAP_B_am128</t>
  </si>
  <si>
    <t>AMOXAP_B_dd135</t>
  </si>
  <si>
    <t>AMOXAP_B_ak122</t>
  </si>
  <si>
    <t>AMOXAP_A_af126</t>
  </si>
  <si>
    <t>AMOXAP_A_ca135</t>
  </si>
  <si>
    <t>AMOXAP_A_ai70</t>
  </si>
  <si>
    <t>AMOXAP_A_cb75</t>
  </si>
  <si>
    <t>AMOXAP_A_ab55</t>
  </si>
  <si>
    <t>AMOXAP_B_ah92</t>
  </si>
  <si>
    <t>AMOXAP_A_af108</t>
  </si>
  <si>
    <t>AMOXAP_A_fc111</t>
  </si>
  <si>
    <t>AMOXAP_A_ad82</t>
  </si>
  <si>
    <t>AMOXAP_A_aj98</t>
  </si>
  <si>
    <t>AMOXAP_A_bf98</t>
  </si>
  <si>
    <t>AMOXAP_A_da35</t>
  </si>
  <si>
    <t>AMOXAP_A_cb147</t>
  </si>
  <si>
    <t>AMOXAP_B_cd68</t>
  </si>
  <si>
    <t>AMOXAP_A_am38 AMOXAP_B_am38</t>
  </si>
  <si>
    <t>1.266588 1.315689</t>
  </si>
  <si>
    <t>0.651741 0.674065</t>
  </si>
  <si>
    <t>AMOXAP_B_ab156</t>
  </si>
  <si>
    <t>AMOXAP_B_az94</t>
  </si>
  <si>
    <t>AMOXAP_A_cc101</t>
  </si>
  <si>
    <t>AMOXAP_B_ai47</t>
  </si>
  <si>
    <t>AMOXAP_A_da129</t>
  </si>
  <si>
    <t>AMOXAP_A_av103</t>
  </si>
  <si>
    <t>AMOXAP_B_fc53</t>
  </si>
  <si>
    <t>AMOXAP_A_ce15</t>
  </si>
  <si>
    <t>AMOXAP_A_av91</t>
  </si>
  <si>
    <t>AMOXAP_A_be97</t>
  </si>
  <si>
    <t>AMOXAP_A_de124</t>
  </si>
  <si>
    <t>AMOXAP_A_av52</t>
  </si>
  <si>
    <t>AMOXAP_A_af30</t>
  </si>
  <si>
    <t>AMOXAP_B_bf41</t>
  </si>
  <si>
    <t>AMOXAP_A_am130</t>
  </si>
  <si>
    <t>AMOXAP_A_ap31</t>
  </si>
  <si>
    <t>AMOXAP_B_cc130</t>
  </si>
  <si>
    <t>AMOXAP_B_dd79</t>
  </si>
  <si>
    <t>AMOXAP_A_aq160 AMOXAP_B_aq160</t>
  </si>
  <si>
    <t>1.249299 1.232340</t>
  </si>
  <si>
    <t>0.639232 0.633213</t>
  </si>
  <si>
    <t>AMOXAP_B_cd53</t>
  </si>
  <si>
    <t>AMOXAP_A_fc122 AMOXAP_B_fc122</t>
  </si>
  <si>
    <t>1.249856 1.281020</t>
  </si>
  <si>
    <t>0.642213 0.658275</t>
  </si>
  <si>
    <t>AMOXAP_A_fc125</t>
  </si>
  <si>
    <t>AMOXAP_B_ca85</t>
  </si>
  <si>
    <t>AMOXAP_A_ab13</t>
  </si>
  <si>
    <t>AMOXAP_B_fc123</t>
  </si>
  <si>
    <t>AMOXAP_B_ay93</t>
  </si>
  <si>
    <t>AMOXAP_A_aq71</t>
  </si>
  <si>
    <t>AMOXAP_A_fa58</t>
  </si>
  <si>
    <t>AMOXAP_B_aq126</t>
  </si>
  <si>
    <t>AMOXAP_A_am12 AMOXAP_B_am12</t>
  </si>
  <si>
    <t>1.272848 1.305927</t>
  </si>
  <si>
    <t>0.652131 0.67145</t>
  </si>
  <si>
    <t>AMOXAP_A_ap108</t>
  </si>
  <si>
    <t>AMOXAP_A_az56</t>
  </si>
  <si>
    <t>AMOXAP_A_de92</t>
  </si>
  <si>
    <t>AMOXAP_A_da38</t>
  </si>
  <si>
    <t>AMOXAP_A_bf96</t>
  </si>
  <si>
    <t>AMOXAP_A_dc115 AMOXAP_B_dc115</t>
  </si>
  <si>
    <t>1.226788 1.234461</t>
  </si>
  <si>
    <t>0.629887 0.632329</t>
  </si>
  <si>
    <t>AMOXAP_B_ak119</t>
  </si>
  <si>
    <t>AMOXAP_A_be49</t>
  </si>
  <si>
    <t>AMOXAP_A_af66</t>
  </si>
  <si>
    <t>AMOXAP_B_dd128</t>
  </si>
  <si>
    <t>AMOXAP_A_bb70</t>
  </si>
  <si>
    <t>AMOXAP_A_ak140</t>
  </si>
  <si>
    <t>AMOXAP_A_cc71</t>
  </si>
  <si>
    <t>AMOXAP_A_ce28</t>
  </si>
  <si>
    <t>AMOXAP_A_fa95 AMOXAP_B_fa95</t>
  </si>
  <si>
    <t>1.258272 1.252632</t>
  </si>
  <si>
    <t>0.648408 0.643524</t>
  </si>
  <si>
    <t>AMOXAP_A_ay134</t>
  </si>
  <si>
    <t>AMOXAP_A_fa63</t>
  </si>
  <si>
    <t>AMOXAP_B_bf49</t>
  </si>
  <si>
    <t>AMOXAP_B_ak102</t>
  </si>
  <si>
    <t>AMOXAP_B_cd67</t>
  </si>
  <si>
    <t>AMOXAP_A_aq157</t>
  </si>
  <si>
    <t>AMOXAP_A_af129</t>
  </si>
  <si>
    <t>AMOXAP_A_ai107</t>
  </si>
  <si>
    <t>AMOXAP_A_av130</t>
  </si>
  <si>
    <t>AMOXAP_A_ay19</t>
  </si>
  <si>
    <t>AMOXAP_A_au14</t>
  </si>
  <si>
    <t>AMOXAP_A_cb128</t>
  </si>
  <si>
    <t>AMOXAP_A_af125</t>
  </si>
  <si>
    <t>AMOXAP_A_ak58 AMOXAP_B_ak58</t>
  </si>
  <si>
    <t>1.243295 1.255710</t>
  </si>
  <si>
    <t>0.639354 0.643487</t>
  </si>
  <si>
    <t>AMOXAP_B_am151</t>
  </si>
  <si>
    <t>AMOXAP_A_db1 AMOXAP_B_db1</t>
  </si>
  <si>
    <t>1.269365 1.259513</t>
  </si>
  <si>
    <t>0.647871 0.644443</t>
  </si>
  <si>
    <t>AMOXAP_B_fa14</t>
  </si>
  <si>
    <t>AMOXAP_A_db83</t>
  </si>
  <si>
    <t>AMOXAP_A_de25</t>
  </si>
  <si>
    <t>AMOXAP_A_az15</t>
  </si>
  <si>
    <t>AMOXAP_A_ba57</t>
  </si>
  <si>
    <t>AMOXAP_A_dc131</t>
  </si>
  <si>
    <t>AMOXAP_B_ak48</t>
  </si>
  <si>
    <t>AMOXAP_B_ca158</t>
  </si>
  <si>
    <t>AMOXAP_B_dd91</t>
  </si>
  <si>
    <t>AMOXAP_A_fc93</t>
  </si>
  <si>
    <t>AMOXAP_A_cb73</t>
  </si>
  <si>
    <t>AMOXAP_A_aq50</t>
  </si>
  <si>
    <t>AMOXAP_B_dd130</t>
  </si>
  <si>
    <t>AMOXAP_A_ba28 AMOXAP_B_ba28</t>
  </si>
  <si>
    <t>1.273433 1.187876</t>
  </si>
  <si>
    <t>0.655847 0.609832</t>
  </si>
  <si>
    <t>P2111 P2111</t>
  </si>
  <si>
    <t>AMOXAP_B_cc53</t>
  </si>
  <si>
    <t>AMOXAP_A_af10</t>
  </si>
  <si>
    <t>AMOXAP_A_av70</t>
  </si>
  <si>
    <t>AMOXAP_B_ai22</t>
  </si>
  <si>
    <t>AMOXAP_B_fc75</t>
  </si>
  <si>
    <t>AMOXAP_A_fc103</t>
  </si>
  <si>
    <t>AMOXAP_B_bb19</t>
  </si>
  <si>
    <t>AMOXAP_A_ad44 AMOXAP_B_ad44</t>
  </si>
  <si>
    <t>1.254940 1.192608</t>
  </si>
  <si>
    <t>0 -130.976</t>
  </si>
  <si>
    <t>0.643283 0.613099</t>
  </si>
  <si>
    <t>Pc Pc</t>
  </si>
  <si>
    <t>AMOXAP_A_cc23</t>
  </si>
  <si>
    <t>AMOXAP_A_au15</t>
  </si>
  <si>
    <t>AMOXAP_A_da7</t>
  </si>
  <si>
    <t>AMOXAP_A_ak136</t>
  </si>
  <si>
    <t>AMOXAP_A_am5</t>
  </si>
  <si>
    <t>AMOXAP_B_da12</t>
  </si>
  <si>
    <t>AMOXAP_A_bd103</t>
  </si>
  <si>
    <t>AMOXAP_A_dd139</t>
  </si>
  <si>
    <t>AMOXAP_B_de130</t>
  </si>
  <si>
    <t>AMOXAP_B_av32</t>
  </si>
  <si>
    <t>AMOXAP_A_da62</t>
  </si>
  <si>
    <t>AMOXAP_B_de76</t>
  </si>
  <si>
    <t>AMOXAP_A_au27</t>
  </si>
  <si>
    <t>AMOXAP_A_cd102 AMOXAP_B_cd102</t>
  </si>
  <si>
    <t>1.226767 1.246723</t>
  </si>
  <si>
    <t>0.627044 0.639925</t>
  </si>
  <si>
    <t>Pbcn P21/b11</t>
  </si>
  <si>
    <t>AMOXAP_A_fa15</t>
  </si>
  <si>
    <t>AMOXAP_B_cc87</t>
  </si>
  <si>
    <t>AMOXAP_B_aq70</t>
  </si>
  <si>
    <t>AMOXAP_A_ap106</t>
  </si>
  <si>
    <t>AMOXAP_B_dd6</t>
  </si>
  <si>
    <t>AMOXAP_A_aq136</t>
  </si>
  <si>
    <t>AMOXAP_A_az91</t>
  </si>
  <si>
    <t>AMOXAP_A_ca30</t>
  </si>
  <si>
    <t>AMOXAP_B_au85</t>
  </si>
  <si>
    <t>AMOXAP_A_ad17</t>
  </si>
  <si>
    <t>AMOXAP_A_cc54 AMOXAP_B_cc54</t>
  </si>
  <si>
    <t>1.185369 1.248691</t>
  </si>
  <si>
    <t>0.60945 0.641811</t>
  </si>
  <si>
    <t>AMOXAP_A_dd144</t>
  </si>
  <si>
    <t>AMOXAP_A_au104</t>
  </si>
  <si>
    <t>AMOXAP_B_cc41</t>
  </si>
  <si>
    <t>AMOXAP_A_af47 AMOXAP_B_af47</t>
  </si>
  <si>
    <t>1.193881 1.252090</t>
  </si>
  <si>
    <t>0.613009 0.642463</t>
  </si>
  <si>
    <t>AMOXAP_A_bb110</t>
  </si>
  <si>
    <t>AMOXAP_B_af14</t>
  </si>
  <si>
    <t>AMOXAP_A_aq35</t>
  </si>
  <si>
    <t>AMOXAP_B_de103</t>
  </si>
  <si>
    <t>AMOXAP_B_dd23</t>
  </si>
  <si>
    <t>AMOXAP_A_cc129</t>
  </si>
  <si>
    <t>AMOXAP_A_da26 AMOXAP_B_da26</t>
  </si>
  <si>
    <t>1.267955 1.210777</t>
  </si>
  <si>
    <t>0.65079 0.620511</t>
  </si>
  <si>
    <t>Cc Cc</t>
  </si>
  <si>
    <t>AMOXAP_A_bh76</t>
  </si>
  <si>
    <t>AMOXAP_B_cc67</t>
  </si>
  <si>
    <t>AMOXAP_A_fa88</t>
  </si>
  <si>
    <t>AMOXAP_A_dc50</t>
  </si>
  <si>
    <t>AMOXAP_A_bd53</t>
  </si>
  <si>
    <t>AMOXAP_B_av95</t>
  </si>
  <si>
    <t>AMOXAP_A_aa122</t>
  </si>
  <si>
    <t>AMOXAP_A_cd156</t>
  </si>
  <si>
    <t>AMOXAP_A_ab27</t>
  </si>
  <si>
    <t>AMOXAP_B_cd2</t>
  </si>
  <si>
    <t>P1121/n</t>
  </si>
  <si>
    <t>AMOXAP_B_av50</t>
  </si>
  <si>
    <t>AMOXAP_A_cc32</t>
  </si>
  <si>
    <t>AMOXAP_A_al63</t>
  </si>
  <si>
    <t>AMOXAP_A_am90</t>
  </si>
  <si>
    <t>AMOXAP_B_ak92</t>
  </si>
  <si>
    <t>AMOXAP_A_bf13</t>
  </si>
  <si>
    <t>AMOXAP_A_ak85 AMOXAP_B_ak85</t>
  </si>
  <si>
    <t>1.234904 1.289557</t>
  </si>
  <si>
    <t>0.632404 0.660007</t>
  </si>
  <si>
    <t>AMOXAP_A_ai147 AMOXAP_B_ai147</t>
  </si>
  <si>
    <t>1.274512 1.266358</t>
  </si>
  <si>
    <t>0.65369 0.650329</t>
  </si>
  <si>
    <t>AMOXAP_A_bd116</t>
  </si>
  <si>
    <t>AMOXAP_B_fa76</t>
  </si>
  <si>
    <t>AMOXAP_B_fa66</t>
  </si>
  <si>
    <t>AMOXAP_A_bd121</t>
  </si>
  <si>
    <t>AMOXAP_B_de150</t>
  </si>
  <si>
    <t>AMOXAP_A_fc9</t>
  </si>
  <si>
    <t>AMOXAP_A_au105</t>
  </si>
  <si>
    <t>AMOXAP_A_db3</t>
  </si>
  <si>
    <t>AMOXAP_B_de69</t>
  </si>
  <si>
    <t>AMOXAP_A_da75</t>
  </si>
  <si>
    <t>AMOXAP_A_db110</t>
  </si>
  <si>
    <t>AMOXAP_A_ay110</t>
  </si>
  <si>
    <t>AMOXAP_A_aq84</t>
  </si>
  <si>
    <t>AMOXAP_A_am137</t>
  </si>
  <si>
    <t>AMOXAP_A_fa40</t>
  </si>
  <si>
    <t>AMOXAP_A_aj3</t>
  </si>
  <si>
    <t>AMOXAP_A_af96</t>
  </si>
  <si>
    <t>AMOXAP_A_dc125</t>
  </si>
  <si>
    <t>AMOXAP_B_af37</t>
  </si>
  <si>
    <t>AMOXAP_A_am56</t>
  </si>
  <si>
    <t>AMOXAP_A_ce63</t>
  </si>
  <si>
    <t>AMOXAP_B_cd37</t>
  </si>
  <si>
    <t>AMOXAP_B_am146</t>
  </si>
  <si>
    <t>AMOXAP_B_au20</t>
  </si>
  <si>
    <t>AMOXAP_A_az41</t>
  </si>
  <si>
    <t>AMOXAP_B_fc82</t>
  </si>
  <si>
    <t>AMOXAP_B_de158</t>
  </si>
  <si>
    <t>AMOXAP_A_af20</t>
  </si>
  <si>
    <t>AMOXAP_A_dd96</t>
  </si>
  <si>
    <t>AMOXAP_B_ab91</t>
  </si>
  <si>
    <t>AMOXAP_B_cd40</t>
  </si>
  <si>
    <t>AMOXAP_A_fc55</t>
  </si>
  <si>
    <t>AMOXAP_A_de54</t>
  </si>
  <si>
    <t>AMOXAP_A_fc34</t>
  </si>
  <si>
    <t>AMOXAP_A_ah74</t>
  </si>
  <si>
    <t>AMOXAP_B_fa115</t>
  </si>
  <si>
    <t>AMOXAP_A_ai33</t>
  </si>
  <si>
    <t>AMOXAP_A_ai94</t>
  </si>
  <si>
    <t>AMOXAP_A_ce4</t>
  </si>
  <si>
    <t>AMOXAP_A_fc131 AMOXAP_B_fc131</t>
  </si>
  <si>
    <t>1.243566 1.320464</t>
  </si>
  <si>
    <t>0.63823 0.677874</t>
  </si>
  <si>
    <t>AMOXAP_A_da29</t>
  </si>
  <si>
    <t>AMOXAP_A_cd109</t>
  </si>
  <si>
    <t>AMOXAP_A_ak153 AMOXAP_B_ak153</t>
  </si>
  <si>
    <t>1.230213 1.304065</t>
  </si>
  <si>
    <t>0.630101 0.670686</t>
  </si>
  <si>
    <t>AMOXAP_B_av62</t>
  </si>
  <si>
    <t>AMOXAP_A_cd34</t>
  </si>
  <si>
    <t>AMOXAP_A_ca115</t>
  </si>
  <si>
    <t>AMOXAP_A_ad39</t>
  </si>
  <si>
    <t>AMOXAP_A_fc65</t>
  </si>
  <si>
    <t>AMOXAP_B_ai12</t>
  </si>
  <si>
    <t>AMOXAP_A_fc83</t>
  </si>
  <si>
    <t>AMOXAP_A_dd111</t>
  </si>
  <si>
    <t>AMOXAP_A_cd17</t>
  </si>
  <si>
    <t>AMOXAP_B_ce48</t>
  </si>
  <si>
    <t>AMOXAP_A_bd20 AMOXAP_B_bd20</t>
  </si>
  <si>
    <t>1.224982 1.246223</t>
  </si>
  <si>
    <t>0.627703 0.63969</t>
  </si>
  <si>
    <t>AMOXAP_A_cd14</t>
  </si>
  <si>
    <t>AMOXAP_A_da36</t>
  </si>
  <si>
    <t>AMOXAP_B_be57</t>
  </si>
  <si>
    <t>P112</t>
  </si>
  <si>
    <t>AMOXAP_B_bg35</t>
  </si>
  <si>
    <t>AMOXAP_A_db68</t>
  </si>
  <si>
    <t>AMOXAP_A_fa75 AMOXAP_B_fa75</t>
  </si>
  <si>
    <t>1.252716 1.267346</t>
  </si>
  <si>
    <t>0.643227 0.649086</t>
  </si>
  <si>
    <t>AMOXAP_A_fc2</t>
  </si>
  <si>
    <t>AMOXAP_B_ab133</t>
  </si>
  <si>
    <t>AMOXAP_A_aj107</t>
  </si>
  <si>
    <t>AMOXAP_A_au142</t>
  </si>
  <si>
    <t>AMOXAP_B_ca147</t>
  </si>
  <si>
    <t>AMOXAP_A_av28</t>
  </si>
  <si>
    <t>AMOXAP_A_ar26</t>
  </si>
  <si>
    <t>AMOXAP_A_bf8</t>
  </si>
  <si>
    <t>AMOXAP_A_ab132 AMOXAP_B_ab132</t>
  </si>
  <si>
    <t>1.263969 1.282912</t>
  </si>
  <si>
    <t>0.64846 0.655371</t>
  </si>
  <si>
    <t>AMOXAP_A_af50 AMOXAP_B_af50</t>
  </si>
  <si>
    <t>1.241396 1.229980</t>
  </si>
  <si>
    <t>0.63758 0.631054</t>
  </si>
  <si>
    <t>AMOXAP_B_dd4</t>
  </si>
  <si>
    <t>AMOXAP_A_ai144</t>
  </si>
  <si>
    <t>AMOXAP_A_cb155</t>
  </si>
  <si>
    <t>AMOXAP_A_da33</t>
  </si>
  <si>
    <t>AMOXAP_B_de157</t>
  </si>
  <si>
    <t>AMOXAP_B_fa110</t>
  </si>
  <si>
    <t>AMOXAP_B_ai129</t>
  </si>
  <si>
    <t>AMOXAP_A_cb9</t>
  </si>
  <si>
    <t>AMOXAP_B_af102</t>
  </si>
  <si>
    <t>AMOXAP_A_az100</t>
  </si>
  <si>
    <t>AMOXAP_B_ba75</t>
  </si>
  <si>
    <t>AMOXAP_A_cb16</t>
  </si>
  <si>
    <t>AMOXAP_A_bh66</t>
  </si>
  <si>
    <t>AMOXAP_B_aq156</t>
  </si>
  <si>
    <t>AMOXAP_A_am34 AMOXAP_B_am34</t>
  </si>
  <si>
    <t>1.239038 1.258048</t>
  </si>
  <si>
    <t>0.63662 0.643225</t>
  </si>
  <si>
    <t>AMOXAP_A_az89</t>
  </si>
  <si>
    <t>AMOXAP_A_cb136</t>
  </si>
  <si>
    <t>AMOXAP_A_bg19</t>
  </si>
  <si>
    <t>AMOXAP_B_ca55</t>
  </si>
  <si>
    <t>AMOXAP_B_au51</t>
  </si>
  <si>
    <t>AMOXAP_B_de72</t>
  </si>
  <si>
    <t>AMOXAP_A_cc103 AMOXAP_B_cc103</t>
  </si>
  <si>
    <t>1.266467 1.237126</t>
  </si>
  <si>
    <t>0.649529 0.632055</t>
  </si>
  <si>
    <t>Pbc21 Pbc21</t>
  </si>
  <si>
    <t>AMOXAP_A_bh89</t>
  </si>
  <si>
    <t>AMOXAP_A_fc50 AMOXAP_B_fc50</t>
  </si>
  <si>
    <t>1.262395 1.267123</t>
  </si>
  <si>
    <t>0.648108 0.65174</t>
  </si>
  <si>
    <t>AMOXAP_B_be6</t>
  </si>
  <si>
    <t>AMOXAP_A_cb125</t>
  </si>
  <si>
    <t>AMOXAP_A_ab148 AMOXAP_B_ab148</t>
  </si>
  <si>
    <t>1.223132 1.232003</t>
  </si>
  <si>
    <t>0.628235 0.633305</t>
  </si>
  <si>
    <t>AMOXAP_A_cb154</t>
  </si>
  <si>
    <t>AMOXAP_A_aa112</t>
  </si>
  <si>
    <t>AMOXAP_B_da93</t>
  </si>
  <si>
    <t>AMOXAP_A_fc56</t>
  </si>
  <si>
    <t>AMOXAP_A_aw85</t>
  </si>
  <si>
    <t>AMOXAP_A_cb159</t>
  </si>
  <si>
    <t>AMOXAP_A_cd150</t>
  </si>
  <si>
    <t>AMOXAP_A_aa53 AMOXAP_B_aa53</t>
  </si>
  <si>
    <t>1.237594 1.267753</t>
  </si>
  <si>
    <t>0.638951 0.654324</t>
  </si>
  <si>
    <t>P1 P1</t>
  </si>
  <si>
    <t>AMOXAP_A_ba47 AMOXAP_B_ba47</t>
  </si>
  <si>
    <t>1.237377 1.256298</t>
  </si>
  <si>
    <t>0.633403 0.645135</t>
  </si>
  <si>
    <t>AMOXAP_A_af24</t>
  </si>
  <si>
    <t>AMOXAP_A_av64</t>
  </si>
  <si>
    <t>AMOXAP_B_ce35</t>
  </si>
  <si>
    <t>AMOXAP_A_az67</t>
  </si>
  <si>
    <t>AMOXAP_B_av27</t>
  </si>
  <si>
    <t>AMOXAP_A_af82</t>
  </si>
  <si>
    <t>AMOXAP_A_ad65</t>
  </si>
  <si>
    <t>AMOXAP_A_fa21</t>
  </si>
  <si>
    <t>AMOXAP_A_dd105</t>
  </si>
  <si>
    <t>AMOXAP_B_ak155</t>
  </si>
  <si>
    <t>AMOXAP_A_cd92</t>
  </si>
  <si>
    <t>AMOXAP_B_ai76</t>
  </si>
  <si>
    <t>AMOXAP_A_cc24</t>
  </si>
  <si>
    <t>AMOXAP_A_de106 AMOXAP_B_de106</t>
  </si>
  <si>
    <t>1.234032 1.266852</t>
  </si>
  <si>
    <t>0.633234 0.649991</t>
  </si>
  <si>
    <t>AMOXAP_A_am53 AMOXAP_B_am53</t>
  </si>
  <si>
    <t>1.253367 1.266469</t>
  </si>
  <si>
    <t>0.641585 0.648559</t>
  </si>
  <si>
    <t>AMOXAP_B_ai3</t>
  </si>
  <si>
    <t>AMOXAP_B_ak133</t>
  </si>
  <si>
    <t>AMOXAP_B_dc120</t>
  </si>
  <si>
    <t>AMOXAP_A_fc73</t>
  </si>
  <si>
    <t>AMOXAP_B_de86</t>
  </si>
  <si>
    <t>AMOXAP_A_az105</t>
  </si>
  <si>
    <t>AMOXAP_A_db54</t>
  </si>
  <si>
    <t>AMOXAP_A_fc18 AMOXAP_B_fc18</t>
  </si>
  <si>
    <t>1.260218 1.280629</t>
  </si>
  <si>
    <t>0.647877 0.657766</t>
  </si>
  <si>
    <t>AMOXAP_B_de18</t>
  </si>
  <si>
    <t>AMOXAP_B_dd108</t>
  </si>
  <si>
    <t>AMOXAP_B_az118</t>
  </si>
  <si>
    <t>AMOXAP_A_ce116</t>
  </si>
  <si>
    <t>AMOXAP_A_cd104</t>
  </si>
  <si>
    <t>AMOXAP_A_aq64</t>
  </si>
  <si>
    <t>AMOXAP_A_av1 AMOXAP_B_av1</t>
  </si>
  <si>
    <t>1.296025 1.261840</t>
  </si>
  <si>
    <t>0.664672 0.646412</t>
  </si>
  <si>
    <t>AMOXAP_B_ba25</t>
  </si>
  <si>
    <t>AMOXAP_B_bh118</t>
  </si>
  <si>
    <t>AMOXAP_A_af124</t>
  </si>
  <si>
    <t>AMOXAP_B_ab102</t>
  </si>
  <si>
    <t>AMOXAP_A_aq43</t>
  </si>
  <si>
    <t>AMOXAP_A_az77</t>
  </si>
  <si>
    <t>AMOXAP_A_ay24</t>
  </si>
  <si>
    <t>AMOXAP_A_de123</t>
  </si>
  <si>
    <t>AMOXAP_A_aa98</t>
  </si>
  <si>
    <t>AMOXAP_A_fc145</t>
  </si>
  <si>
    <t>AMOXAP_B_dc7</t>
  </si>
  <si>
    <t>AMOXAP_B_am61</t>
  </si>
  <si>
    <t>AMOXAP_A_av99</t>
  </si>
  <si>
    <t>AMOXAP_A_au26</t>
  </si>
  <si>
    <t>AMOXAP_B_da140</t>
  </si>
  <si>
    <t>AMOXAP_B_az13</t>
  </si>
  <si>
    <t>AMOXAP_B_ak157</t>
  </si>
  <si>
    <t>AMOXAP_A_cc88 AMOXAP_B_cc88</t>
  </si>
  <si>
    <t>1.228558 1.255507</t>
  </si>
  <si>
    <t>0.631063 0.644272</t>
  </si>
  <si>
    <t>AMOXAP_A_fc39 AMOXAP_B_fc39</t>
  </si>
  <si>
    <t>1.208831 1.258041</t>
  </si>
  <si>
    <t>0.61936 0.647568</t>
  </si>
  <si>
    <t>AMOXAP_A_ca141</t>
  </si>
  <si>
    <t>AMOXAP_A_bh58</t>
  </si>
  <si>
    <t>AMOXAP_A_az64 AMOXAP_B_az64</t>
  </si>
  <si>
    <t>1.230308 1.246666</t>
  </si>
  <si>
    <t>0.629489 0.640679</t>
  </si>
  <si>
    <t>AMOXAP_A_ce127</t>
  </si>
  <si>
    <t>AMOXAP_B_fc121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</si>
</sst>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596FD-9D8A-405C-91B0-46A137EE6E1C}">
  <dimension ref="A1:G1359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1.37575</v>
      </c>
      <c r="C2">
        <v>-135.84200000000001</v>
      </c>
      <c r="D2">
        <v>-157.24199999999999</v>
      </c>
      <c r="E2">
        <v>0.70574499999999996</v>
      </c>
      <c r="F2" t="s">
        <v>8</v>
      </c>
      <c r="G2" t="s">
        <v>9</v>
      </c>
    </row>
    <row r="3" spans="1:7" x14ac:dyDescent="0.25">
      <c r="A3" t="s">
        <v>10</v>
      </c>
      <c r="B3">
        <v>1.34368</v>
      </c>
      <c r="C3">
        <v>-130.97200000000001</v>
      </c>
      <c r="D3">
        <v>-152.93199999999999</v>
      </c>
      <c r="E3">
        <v>0.68869599999999997</v>
      </c>
      <c r="F3" t="s">
        <v>11</v>
      </c>
    </row>
    <row r="4" spans="1:7" x14ac:dyDescent="0.25">
      <c r="A4" t="s">
        <v>12</v>
      </c>
      <c r="B4">
        <v>1.368431</v>
      </c>
      <c r="C4">
        <v>-129.828</v>
      </c>
      <c r="D4">
        <v>-151.73599999999999</v>
      </c>
      <c r="E4">
        <v>0.70165999999999995</v>
      </c>
      <c r="F4" t="s">
        <v>13</v>
      </c>
    </row>
    <row r="5" spans="1:7" x14ac:dyDescent="0.25">
      <c r="A5" t="s">
        <v>14</v>
      </c>
      <c r="B5">
        <v>1.345154</v>
      </c>
      <c r="C5">
        <v>-127.56</v>
      </c>
      <c r="D5">
        <v>-149.49700000000001</v>
      </c>
      <c r="E5">
        <v>0.68806599999999996</v>
      </c>
      <c r="F5" t="s">
        <v>13</v>
      </c>
    </row>
    <row r="6" spans="1:7" x14ac:dyDescent="0.25">
      <c r="A6" t="s">
        <v>15</v>
      </c>
      <c r="B6">
        <v>1.3149390000000001</v>
      </c>
      <c r="C6">
        <v>-126.158</v>
      </c>
      <c r="D6">
        <v>-146.57499999999999</v>
      </c>
      <c r="E6">
        <v>0.67457699999999998</v>
      </c>
      <c r="F6" t="s">
        <v>16</v>
      </c>
    </row>
    <row r="7" spans="1:7" x14ac:dyDescent="0.25">
      <c r="A7" t="s">
        <v>17</v>
      </c>
      <c r="B7">
        <v>1.338795</v>
      </c>
      <c r="C7">
        <v>-125.98</v>
      </c>
      <c r="D7">
        <v>-148.34899999999999</v>
      </c>
      <c r="E7">
        <v>0.68613400000000002</v>
      </c>
      <c r="F7" t="s">
        <v>13</v>
      </c>
    </row>
    <row r="8" spans="1:7" x14ac:dyDescent="0.25">
      <c r="A8" t="s">
        <v>18</v>
      </c>
      <c r="B8">
        <v>1.326063</v>
      </c>
      <c r="C8">
        <v>-125.28100000000001</v>
      </c>
      <c r="D8">
        <v>-147.46</v>
      </c>
      <c r="E8">
        <v>0.68041799999999997</v>
      </c>
      <c r="F8" t="s">
        <v>19</v>
      </c>
    </row>
    <row r="9" spans="1:7" x14ac:dyDescent="0.25">
      <c r="A9" t="s">
        <v>20</v>
      </c>
      <c r="B9">
        <v>1.348746</v>
      </c>
      <c r="C9">
        <v>-125.035</v>
      </c>
      <c r="D9">
        <v>-146.65799999999999</v>
      </c>
      <c r="E9">
        <v>0.68992299999999995</v>
      </c>
      <c r="F9" t="s">
        <v>13</v>
      </c>
    </row>
    <row r="10" spans="1:7" x14ac:dyDescent="0.25">
      <c r="A10" t="s">
        <v>21</v>
      </c>
      <c r="B10">
        <v>1.2962180000000001</v>
      </c>
      <c r="C10">
        <v>-124.636</v>
      </c>
      <c r="D10">
        <v>-148.089</v>
      </c>
      <c r="E10">
        <v>0.66444099999999995</v>
      </c>
      <c r="F10" t="s">
        <v>22</v>
      </c>
    </row>
    <row r="11" spans="1:7" x14ac:dyDescent="0.25">
      <c r="A11" t="s">
        <v>23</v>
      </c>
      <c r="B11">
        <v>1.3185309999999999</v>
      </c>
      <c r="C11">
        <v>-124.194</v>
      </c>
      <c r="D11">
        <v>-146.66499999999999</v>
      </c>
      <c r="E11">
        <v>0.67729399999999995</v>
      </c>
      <c r="F11" t="s">
        <v>24</v>
      </c>
    </row>
    <row r="12" spans="1:7" x14ac:dyDescent="0.25">
      <c r="A12" t="s">
        <v>25</v>
      </c>
      <c r="B12">
        <v>1.346525</v>
      </c>
      <c r="C12">
        <v>-123.57299999999999</v>
      </c>
      <c r="D12">
        <v>-145.989</v>
      </c>
      <c r="E12">
        <v>0.69201500000000005</v>
      </c>
      <c r="F12" t="s">
        <v>26</v>
      </c>
    </row>
    <row r="13" spans="1:7" x14ac:dyDescent="0.25">
      <c r="A13" t="s">
        <v>27</v>
      </c>
      <c r="B13">
        <v>1.348374</v>
      </c>
      <c r="C13">
        <v>-123.559</v>
      </c>
      <c r="D13">
        <v>-145.291</v>
      </c>
      <c r="E13">
        <v>0.69077200000000005</v>
      </c>
      <c r="F13" t="s">
        <v>22</v>
      </c>
    </row>
    <row r="14" spans="1:7" x14ac:dyDescent="0.25">
      <c r="A14" t="s">
        <v>28</v>
      </c>
      <c r="B14" t="s">
        <v>29</v>
      </c>
      <c r="C14">
        <f>-123.535 -112.498</f>
        <v>-236.03300000000002</v>
      </c>
      <c r="D14">
        <f>-145.411 -135.14</f>
        <v>-280.55099999999999</v>
      </c>
      <c r="E14" t="s">
        <v>30</v>
      </c>
      <c r="F14" t="s">
        <v>31</v>
      </c>
    </row>
    <row r="15" spans="1:7" x14ac:dyDescent="0.25">
      <c r="A15" t="s">
        <v>32</v>
      </c>
      <c r="B15">
        <v>1.3311580000000001</v>
      </c>
      <c r="C15">
        <v>-123.327</v>
      </c>
      <c r="D15">
        <v>-146.24199999999999</v>
      </c>
      <c r="E15">
        <v>0.68363600000000002</v>
      </c>
      <c r="F15" t="s">
        <v>24</v>
      </c>
    </row>
    <row r="16" spans="1:7" x14ac:dyDescent="0.25">
      <c r="A16" t="s">
        <v>33</v>
      </c>
      <c r="B16">
        <v>1.3455710000000001</v>
      </c>
      <c r="C16">
        <v>-123.25</v>
      </c>
      <c r="D16">
        <v>-145.86699999999999</v>
      </c>
      <c r="E16">
        <v>0.691272</v>
      </c>
      <c r="F16" t="s">
        <v>22</v>
      </c>
    </row>
    <row r="17" spans="1:6" x14ac:dyDescent="0.25">
      <c r="A17" t="s">
        <v>34</v>
      </c>
      <c r="B17" t="s">
        <v>35</v>
      </c>
      <c r="C17">
        <f>-123.147 -113.82</f>
        <v>-236.96699999999998</v>
      </c>
      <c r="D17">
        <f>-146.149 -137.682</f>
        <v>-283.83100000000002</v>
      </c>
      <c r="E17" t="s">
        <v>36</v>
      </c>
      <c r="F17" t="s">
        <v>37</v>
      </c>
    </row>
    <row r="18" spans="1:6" x14ac:dyDescent="0.25">
      <c r="A18" t="s">
        <v>38</v>
      </c>
      <c r="B18" t="s">
        <v>39</v>
      </c>
      <c r="C18">
        <f>-122.667 -118.51</f>
        <v>-241.17700000000002</v>
      </c>
      <c r="D18">
        <f>-147.38 -144.537</f>
        <v>-291.91700000000003</v>
      </c>
      <c r="E18" t="s">
        <v>40</v>
      </c>
      <c r="F18" t="s">
        <v>41</v>
      </c>
    </row>
    <row r="19" spans="1:6" x14ac:dyDescent="0.25">
      <c r="A19" t="s">
        <v>42</v>
      </c>
      <c r="B19">
        <v>1.3314010000000001</v>
      </c>
      <c r="C19">
        <v>-122.608</v>
      </c>
      <c r="D19">
        <v>-144.262</v>
      </c>
      <c r="E19">
        <v>0.68281999999999998</v>
      </c>
      <c r="F19" t="s">
        <v>26</v>
      </c>
    </row>
    <row r="20" spans="1:6" x14ac:dyDescent="0.25">
      <c r="A20" t="s">
        <v>43</v>
      </c>
      <c r="B20">
        <v>1.3172269999999999</v>
      </c>
      <c r="C20">
        <v>-122.55200000000001</v>
      </c>
      <c r="D20">
        <v>-143.97399999999999</v>
      </c>
      <c r="E20">
        <v>0.67522599999999999</v>
      </c>
      <c r="F20" t="s">
        <v>26</v>
      </c>
    </row>
    <row r="21" spans="1:6" x14ac:dyDescent="0.25">
      <c r="A21" t="s">
        <v>44</v>
      </c>
      <c r="B21">
        <v>1.3219099999999999</v>
      </c>
      <c r="C21">
        <v>-122.46899999999999</v>
      </c>
      <c r="D21">
        <v>-142.78399999999999</v>
      </c>
      <c r="E21">
        <v>0.67987699999999995</v>
      </c>
      <c r="F21" t="s">
        <v>16</v>
      </c>
    </row>
    <row r="22" spans="1:6" x14ac:dyDescent="0.25">
      <c r="A22" t="s">
        <v>45</v>
      </c>
      <c r="B22">
        <v>1.3329279999999999</v>
      </c>
      <c r="C22">
        <v>-122.27500000000001</v>
      </c>
      <c r="D22">
        <v>-146.596</v>
      </c>
      <c r="E22">
        <v>0.684504</v>
      </c>
      <c r="F22" t="s">
        <v>11</v>
      </c>
    </row>
    <row r="23" spans="1:6" x14ac:dyDescent="0.25">
      <c r="A23" t="s">
        <v>46</v>
      </c>
      <c r="B23">
        <v>1.3212999999999999</v>
      </c>
      <c r="C23">
        <v>-122.107</v>
      </c>
      <c r="D23">
        <v>-144.27799999999999</v>
      </c>
      <c r="E23">
        <v>0.67887500000000001</v>
      </c>
      <c r="F23" t="s">
        <v>24</v>
      </c>
    </row>
    <row r="24" spans="1:6" x14ac:dyDescent="0.25">
      <c r="A24" t="s">
        <v>47</v>
      </c>
      <c r="B24">
        <v>1.346884</v>
      </c>
      <c r="C24">
        <v>-122.023</v>
      </c>
      <c r="D24">
        <v>-145.953</v>
      </c>
      <c r="E24">
        <v>0.69029099999999999</v>
      </c>
      <c r="F24" t="s">
        <v>11</v>
      </c>
    </row>
    <row r="25" spans="1:6" x14ac:dyDescent="0.25">
      <c r="A25" t="s">
        <v>48</v>
      </c>
      <c r="B25">
        <v>1.3555550000000001</v>
      </c>
      <c r="C25">
        <v>-121.98</v>
      </c>
      <c r="D25">
        <v>-143.58500000000001</v>
      </c>
      <c r="E25">
        <v>0.69581300000000001</v>
      </c>
      <c r="F25" t="s">
        <v>49</v>
      </c>
    </row>
    <row r="26" spans="1:6" x14ac:dyDescent="0.25">
      <c r="A26" t="s">
        <v>50</v>
      </c>
      <c r="B26" t="s">
        <v>51</v>
      </c>
      <c r="C26">
        <f>-121.805 -115.193</f>
        <v>-236.99799999999999</v>
      </c>
      <c r="D26">
        <f>-144.2 -115.193</f>
        <v>-259.39299999999997</v>
      </c>
      <c r="E26" t="s">
        <v>52</v>
      </c>
      <c r="F26" t="s">
        <v>53</v>
      </c>
    </row>
    <row r="27" spans="1:6" x14ac:dyDescent="0.25">
      <c r="A27" t="s">
        <v>54</v>
      </c>
      <c r="B27">
        <v>1.3273759999999999</v>
      </c>
      <c r="C27">
        <v>-121.57899999999999</v>
      </c>
      <c r="D27">
        <v>-144.46299999999999</v>
      </c>
      <c r="E27">
        <v>0.68111600000000005</v>
      </c>
      <c r="F27" t="s">
        <v>24</v>
      </c>
    </row>
    <row r="28" spans="1:6" x14ac:dyDescent="0.25">
      <c r="A28" t="s">
        <v>55</v>
      </c>
      <c r="B28">
        <v>1.3396680000000001</v>
      </c>
      <c r="C28">
        <v>-121.343</v>
      </c>
      <c r="D28">
        <v>-143.024</v>
      </c>
      <c r="E28">
        <v>0.68584800000000001</v>
      </c>
      <c r="F28" t="s">
        <v>8</v>
      </c>
    </row>
    <row r="29" spans="1:6" x14ac:dyDescent="0.25">
      <c r="A29" t="s">
        <v>56</v>
      </c>
      <c r="B29">
        <v>1.2978620000000001</v>
      </c>
      <c r="C29">
        <v>-121.146</v>
      </c>
      <c r="D29">
        <v>-143.53200000000001</v>
      </c>
      <c r="E29">
        <v>0.66698599999999997</v>
      </c>
      <c r="F29" t="s">
        <v>57</v>
      </c>
    </row>
    <row r="30" spans="1:6" x14ac:dyDescent="0.25">
      <c r="A30" t="s">
        <v>58</v>
      </c>
      <c r="B30" t="s">
        <v>59</v>
      </c>
      <c r="C30">
        <f>-121.118 -116.658</f>
        <v>-237.77600000000001</v>
      </c>
      <c r="D30">
        <f>-143.899 -139.644</f>
        <v>-283.54300000000001</v>
      </c>
      <c r="E30" t="s">
        <v>60</v>
      </c>
      <c r="F30" t="s">
        <v>37</v>
      </c>
    </row>
    <row r="31" spans="1:6" x14ac:dyDescent="0.25">
      <c r="A31" t="s">
        <v>61</v>
      </c>
      <c r="B31">
        <v>1.3137080000000001</v>
      </c>
      <c r="C31">
        <v>-121.06100000000001</v>
      </c>
      <c r="D31">
        <v>-143.84899999999999</v>
      </c>
      <c r="E31">
        <v>0.67368099999999997</v>
      </c>
      <c r="F31" t="s">
        <v>57</v>
      </c>
    </row>
    <row r="32" spans="1:6" x14ac:dyDescent="0.25">
      <c r="A32" t="s">
        <v>62</v>
      </c>
      <c r="B32">
        <v>1.30775</v>
      </c>
      <c r="C32">
        <v>-121.01300000000001</v>
      </c>
      <c r="D32">
        <v>-143.45699999999999</v>
      </c>
      <c r="E32">
        <v>0.66998400000000002</v>
      </c>
      <c r="F32" t="s">
        <v>49</v>
      </c>
    </row>
    <row r="33" spans="1:6" x14ac:dyDescent="0.25">
      <c r="A33" t="s">
        <v>63</v>
      </c>
      <c r="B33">
        <v>1.315096</v>
      </c>
      <c r="C33">
        <v>-120.976</v>
      </c>
      <c r="D33">
        <v>-143.84399999999999</v>
      </c>
      <c r="E33">
        <v>0.67554400000000003</v>
      </c>
      <c r="F33" t="s">
        <v>24</v>
      </c>
    </row>
    <row r="34" spans="1:6" x14ac:dyDescent="0.25">
      <c r="A34" t="s">
        <v>64</v>
      </c>
      <c r="B34">
        <v>1.3296539999999999</v>
      </c>
      <c r="C34">
        <v>-120.9</v>
      </c>
      <c r="D34">
        <v>-144.46100000000001</v>
      </c>
      <c r="E34">
        <v>0.68221900000000002</v>
      </c>
      <c r="F34" t="s">
        <v>11</v>
      </c>
    </row>
    <row r="35" spans="1:6" x14ac:dyDescent="0.25">
      <c r="A35" t="s">
        <v>65</v>
      </c>
      <c r="B35">
        <v>1.2850429999999999</v>
      </c>
      <c r="C35">
        <v>-120.898</v>
      </c>
      <c r="D35">
        <v>-144.08000000000001</v>
      </c>
      <c r="E35">
        <v>0.66165200000000002</v>
      </c>
      <c r="F35" t="s">
        <v>22</v>
      </c>
    </row>
    <row r="36" spans="1:6" x14ac:dyDescent="0.25">
      <c r="A36" t="s">
        <v>66</v>
      </c>
      <c r="B36">
        <v>1.2748619999999999</v>
      </c>
      <c r="C36">
        <v>-120.73</v>
      </c>
      <c r="D36">
        <v>-143.96100000000001</v>
      </c>
      <c r="E36">
        <v>0.65261899999999995</v>
      </c>
      <c r="F36" t="s">
        <v>13</v>
      </c>
    </row>
    <row r="37" spans="1:6" x14ac:dyDescent="0.25">
      <c r="A37" t="s">
        <v>67</v>
      </c>
      <c r="B37">
        <v>1.3111649999999999</v>
      </c>
      <c r="C37">
        <v>-120.664</v>
      </c>
      <c r="D37">
        <v>-144.18799999999999</v>
      </c>
      <c r="E37">
        <v>0.67380200000000001</v>
      </c>
      <c r="F37" t="s">
        <v>24</v>
      </c>
    </row>
    <row r="38" spans="1:6" x14ac:dyDescent="0.25">
      <c r="A38" t="s">
        <v>68</v>
      </c>
      <c r="B38">
        <v>1.2882130000000001</v>
      </c>
      <c r="C38">
        <v>-120.574</v>
      </c>
      <c r="D38">
        <v>-143.584</v>
      </c>
      <c r="E38">
        <v>0.66041399999999995</v>
      </c>
      <c r="F38" t="s">
        <v>69</v>
      </c>
    </row>
    <row r="39" spans="1:6" x14ac:dyDescent="0.25">
      <c r="A39" t="s">
        <v>70</v>
      </c>
      <c r="B39">
        <v>1.308216</v>
      </c>
      <c r="C39">
        <v>-120.535</v>
      </c>
      <c r="D39">
        <v>-142.899</v>
      </c>
      <c r="E39">
        <v>0.67260900000000001</v>
      </c>
      <c r="F39" t="s">
        <v>13</v>
      </c>
    </row>
    <row r="40" spans="1:6" x14ac:dyDescent="0.25">
      <c r="A40" t="s">
        <v>71</v>
      </c>
      <c r="B40">
        <v>1.304956</v>
      </c>
      <c r="C40">
        <v>-120.33499999999999</v>
      </c>
      <c r="D40">
        <v>-143.22999999999999</v>
      </c>
      <c r="E40">
        <v>0.67181900000000006</v>
      </c>
      <c r="F40" t="s">
        <v>16</v>
      </c>
    </row>
    <row r="41" spans="1:6" x14ac:dyDescent="0.25">
      <c r="A41" t="s">
        <v>72</v>
      </c>
      <c r="B41">
        <v>1.299069</v>
      </c>
      <c r="C41">
        <v>-120.276</v>
      </c>
      <c r="D41">
        <v>-142.46199999999999</v>
      </c>
      <c r="E41">
        <v>0.66465700000000005</v>
      </c>
      <c r="F41" t="s">
        <v>13</v>
      </c>
    </row>
    <row r="42" spans="1:6" x14ac:dyDescent="0.25">
      <c r="A42" t="s">
        <v>73</v>
      </c>
      <c r="B42">
        <v>1.314362</v>
      </c>
      <c r="C42">
        <v>-120.241</v>
      </c>
      <c r="D42">
        <v>-141.59299999999999</v>
      </c>
      <c r="E42">
        <v>0.67233600000000004</v>
      </c>
      <c r="F42" t="s">
        <v>22</v>
      </c>
    </row>
    <row r="43" spans="1:6" x14ac:dyDescent="0.25">
      <c r="A43" t="s">
        <v>74</v>
      </c>
      <c r="B43" t="s">
        <v>75</v>
      </c>
      <c r="C43">
        <f>-120.197 -110.902</f>
        <v>-231.09899999999999</v>
      </c>
      <c r="D43">
        <f>-143.49 -134.982</f>
        <v>-278.47199999999998</v>
      </c>
      <c r="E43" t="s">
        <v>76</v>
      </c>
      <c r="F43" t="s">
        <v>77</v>
      </c>
    </row>
    <row r="44" spans="1:6" x14ac:dyDescent="0.25">
      <c r="A44" t="s">
        <v>78</v>
      </c>
      <c r="B44">
        <v>1.288851</v>
      </c>
      <c r="C44">
        <v>-120.15</v>
      </c>
      <c r="D44">
        <v>-120.15</v>
      </c>
      <c r="E44">
        <v>0.66170399999999996</v>
      </c>
      <c r="F44" t="s">
        <v>16</v>
      </c>
    </row>
    <row r="45" spans="1:6" x14ac:dyDescent="0.25">
      <c r="A45" t="s">
        <v>79</v>
      </c>
      <c r="B45">
        <v>1.2736590000000001</v>
      </c>
      <c r="C45">
        <v>-120.121</v>
      </c>
      <c r="D45">
        <v>-142.30600000000001</v>
      </c>
      <c r="E45">
        <v>0.65151999999999999</v>
      </c>
      <c r="F45" t="s">
        <v>57</v>
      </c>
    </row>
    <row r="46" spans="1:6" x14ac:dyDescent="0.25">
      <c r="A46" t="s">
        <v>80</v>
      </c>
      <c r="B46">
        <v>1.3213969999999999</v>
      </c>
      <c r="C46">
        <v>-120.08799999999999</v>
      </c>
      <c r="D46">
        <v>-143.32900000000001</v>
      </c>
      <c r="E46">
        <v>0.68089299999999997</v>
      </c>
      <c r="F46" t="s">
        <v>19</v>
      </c>
    </row>
    <row r="47" spans="1:6" x14ac:dyDescent="0.25">
      <c r="A47" t="s">
        <v>81</v>
      </c>
      <c r="B47">
        <v>1.2915700000000001</v>
      </c>
      <c r="C47">
        <v>-120.075</v>
      </c>
      <c r="D47">
        <v>-141.71600000000001</v>
      </c>
      <c r="E47">
        <v>0.663794</v>
      </c>
      <c r="F47" t="s">
        <v>26</v>
      </c>
    </row>
    <row r="48" spans="1:6" x14ac:dyDescent="0.25">
      <c r="A48" t="s">
        <v>82</v>
      </c>
      <c r="B48">
        <v>1.3069010000000001</v>
      </c>
      <c r="C48">
        <v>-119.928</v>
      </c>
      <c r="D48">
        <v>-143.05000000000001</v>
      </c>
      <c r="E48">
        <v>0.66947800000000002</v>
      </c>
      <c r="F48" t="s">
        <v>13</v>
      </c>
    </row>
    <row r="49" spans="1:6" x14ac:dyDescent="0.25">
      <c r="A49" t="s">
        <v>83</v>
      </c>
      <c r="B49">
        <v>1.316881</v>
      </c>
      <c r="C49">
        <v>-119.902</v>
      </c>
      <c r="D49">
        <v>-143.74100000000001</v>
      </c>
      <c r="E49">
        <v>0.67581800000000003</v>
      </c>
      <c r="F49" t="s">
        <v>11</v>
      </c>
    </row>
    <row r="50" spans="1:6" x14ac:dyDescent="0.25">
      <c r="A50" t="s">
        <v>84</v>
      </c>
      <c r="B50" t="s">
        <v>85</v>
      </c>
      <c r="C50">
        <f>-119.686 -109.024</f>
        <v>-228.71</v>
      </c>
      <c r="D50">
        <f>-142.31 -131.902</f>
        <v>-274.21199999999999</v>
      </c>
      <c r="E50" t="s">
        <v>86</v>
      </c>
      <c r="F50" t="s">
        <v>87</v>
      </c>
    </row>
    <row r="51" spans="1:6" x14ac:dyDescent="0.25">
      <c r="A51" t="s">
        <v>88</v>
      </c>
      <c r="B51">
        <v>1.2955369999999999</v>
      </c>
      <c r="C51">
        <v>-119.64400000000001</v>
      </c>
      <c r="D51">
        <v>-143.21</v>
      </c>
      <c r="E51">
        <v>0.66488899999999995</v>
      </c>
      <c r="F51" t="s">
        <v>24</v>
      </c>
    </row>
    <row r="52" spans="1:6" x14ac:dyDescent="0.25">
      <c r="A52" t="s">
        <v>89</v>
      </c>
      <c r="B52">
        <v>1.288959</v>
      </c>
      <c r="C52">
        <v>-119.553</v>
      </c>
      <c r="D52">
        <v>-142.05799999999999</v>
      </c>
      <c r="E52">
        <v>0.66014700000000004</v>
      </c>
      <c r="F52" t="s">
        <v>57</v>
      </c>
    </row>
    <row r="53" spans="1:6" x14ac:dyDescent="0.25">
      <c r="A53" t="s">
        <v>90</v>
      </c>
      <c r="B53">
        <v>1.2942070000000001</v>
      </c>
      <c r="C53">
        <v>-119.52500000000001</v>
      </c>
      <c r="D53">
        <v>-142.352</v>
      </c>
      <c r="E53">
        <v>0.66460399999999997</v>
      </c>
      <c r="F53" t="s">
        <v>11</v>
      </c>
    </row>
    <row r="54" spans="1:6" x14ac:dyDescent="0.25">
      <c r="A54" t="s">
        <v>91</v>
      </c>
      <c r="B54" t="s">
        <v>92</v>
      </c>
      <c r="C54">
        <f>-119.516 -106.914</f>
        <v>-226.43</v>
      </c>
      <c r="D54">
        <f>-141.077 -131.762</f>
        <v>-272.839</v>
      </c>
      <c r="E54" t="s">
        <v>93</v>
      </c>
      <c r="F54" t="s">
        <v>94</v>
      </c>
    </row>
    <row r="55" spans="1:6" x14ac:dyDescent="0.25">
      <c r="A55" t="s">
        <v>95</v>
      </c>
      <c r="B55">
        <v>1.3304659999999999</v>
      </c>
      <c r="C55">
        <v>-119.461</v>
      </c>
      <c r="D55">
        <v>-141.185</v>
      </c>
      <c r="E55">
        <v>0.68314600000000003</v>
      </c>
      <c r="F55" t="s">
        <v>26</v>
      </c>
    </row>
    <row r="56" spans="1:6" x14ac:dyDescent="0.25">
      <c r="A56" t="s">
        <v>96</v>
      </c>
      <c r="B56">
        <v>1.279752</v>
      </c>
      <c r="C56">
        <v>-119.411</v>
      </c>
      <c r="D56">
        <v>-142.73699999999999</v>
      </c>
      <c r="E56">
        <v>0.65689500000000001</v>
      </c>
      <c r="F56" t="s">
        <v>24</v>
      </c>
    </row>
    <row r="57" spans="1:6" x14ac:dyDescent="0.25">
      <c r="A57" t="s">
        <v>97</v>
      </c>
      <c r="B57">
        <v>1.2940910000000001</v>
      </c>
      <c r="C57">
        <v>-119.39100000000001</v>
      </c>
      <c r="D57">
        <v>-142.233</v>
      </c>
      <c r="E57">
        <v>0.66261899999999996</v>
      </c>
      <c r="F57" t="s">
        <v>13</v>
      </c>
    </row>
    <row r="58" spans="1:6" x14ac:dyDescent="0.25">
      <c r="A58" t="s">
        <v>98</v>
      </c>
      <c r="B58">
        <v>1.3002359999999999</v>
      </c>
      <c r="C58">
        <v>-119.376</v>
      </c>
      <c r="D58">
        <v>-142.94800000000001</v>
      </c>
      <c r="E58">
        <v>0.66852199999999995</v>
      </c>
      <c r="F58" t="s">
        <v>8</v>
      </c>
    </row>
    <row r="59" spans="1:6" x14ac:dyDescent="0.25">
      <c r="A59" t="s">
        <v>99</v>
      </c>
      <c r="B59">
        <v>1.3128960000000001</v>
      </c>
      <c r="C59">
        <v>-119.35599999999999</v>
      </c>
      <c r="D59">
        <v>-143.077</v>
      </c>
      <c r="E59">
        <v>0.67131099999999999</v>
      </c>
      <c r="F59" t="s">
        <v>8</v>
      </c>
    </row>
    <row r="60" spans="1:6" x14ac:dyDescent="0.25">
      <c r="A60" t="s">
        <v>100</v>
      </c>
      <c r="B60">
        <v>1.3401590000000001</v>
      </c>
      <c r="C60">
        <v>-119.143</v>
      </c>
      <c r="D60">
        <v>-141.14699999999999</v>
      </c>
      <c r="E60">
        <v>0.68726200000000004</v>
      </c>
      <c r="F60" t="s">
        <v>13</v>
      </c>
    </row>
    <row r="61" spans="1:6" x14ac:dyDescent="0.25">
      <c r="A61" t="s">
        <v>101</v>
      </c>
      <c r="B61">
        <v>1.3083450000000001</v>
      </c>
      <c r="C61">
        <v>-119.134</v>
      </c>
      <c r="D61">
        <v>-143.14500000000001</v>
      </c>
      <c r="E61">
        <v>0.66877500000000001</v>
      </c>
      <c r="F61" t="s">
        <v>13</v>
      </c>
    </row>
    <row r="62" spans="1:6" x14ac:dyDescent="0.25">
      <c r="A62" t="s">
        <v>102</v>
      </c>
      <c r="B62">
        <v>1.3136509999999999</v>
      </c>
      <c r="C62">
        <v>-119.01300000000001</v>
      </c>
      <c r="D62">
        <v>-139.26900000000001</v>
      </c>
      <c r="E62">
        <v>0.67756899999999998</v>
      </c>
      <c r="F62" t="s">
        <v>16</v>
      </c>
    </row>
    <row r="63" spans="1:6" x14ac:dyDescent="0.25">
      <c r="A63" t="s">
        <v>103</v>
      </c>
      <c r="B63">
        <v>1.2990999999999999</v>
      </c>
      <c r="C63">
        <v>-118.97499999999999</v>
      </c>
      <c r="D63">
        <v>-143.261</v>
      </c>
      <c r="E63">
        <v>0.66557599999999995</v>
      </c>
      <c r="F63" t="s">
        <v>57</v>
      </c>
    </row>
    <row r="64" spans="1:6" x14ac:dyDescent="0.25">
      <c r="A64" t="s">
        <v>104</v>
      </c>
      <c r="B64">
        <v>1.2871619999999999</v>
      </c>
      <c r="C64">
        <v>-118.913</v>
      </c>
      <c r="D64">
        <v>-142.00899999999999</v>
      </c>
      <c r="E64">
        <v>0.66024899999999997</v>
      </c>
      <c r="F64" t="s">
        <v>13</v>
      </c>
    </row>
    <row r="65" spans="1:6" x14ac:dyDescent="0.25">
      <c r="A65" t="s">
        <v>105</v>
      </c>
      <c r="B65">
        <v>1.2976080000000001</v>
      </c>
      <c r="C65">
        <v>-118.855</v>
      </c>
      <c r="D65">
        <v>-141.416</v>
      </c>
      <c r="E65">
        <v>0.66434000000000004</v>
      </c>
      <c r="F65" t="s">
        <v>26</v>
      </c>
    </row>
    <row r="66" spans="1:6" x14ac:dyDescent="0.25">
      <c r="A66" t="s">
        <v>106</v>
      </c>
      <c r="B66">
        <v>1.2790140000000001</v>
      </c>
      <c r="C66">
        <v>-118.842</v>
      </c>
      <c r="D66">
        <v>-141.47900000000001</v>
      </c>
      <c r="E66">
        <v>0.65519700000000003</v>
      </c>
      <c r="F66" t="s">
        <v>57</v>
      </c>
    </row>
    <row r="67" spans="1:6" x14ac:dyDescent="0.25">
      <c r="A67" t="s">
        <v>107</v>
      </c>
      <c r="B67">
        <v>1.3240449999999999</v>
      </c>
      <c r="C67">
        <v>-118.834</v>
      </c>
      <c r="D67">
        <v>-142.928</v>
      </c>
      <c r="E67">
        <v>0.67990899999999999</v>
      </c>
      <c r="F67" t="s">
        <v>13</v>
      </c>
    </row>
    <row r="68" spans="1:6" x14ac:dyDescent="0.25">
      <c r="A68" t="s">
        <v>108</v>
      </c>
      <c r="B68">
        <v>1.2786820000000001</v>
      </c>
      <c r="C68">
        <v>-118.768</v>
      </c>
      <c r="D68">
        <v>-141.197</v>
      </c>
      <c r="E68">
        <v>0.65659000000000001</v>
      </c>
      <c r="F68" t="s">
        <v>22</v>
      </c>
    </row>
    <row r="69" spans="1:6" x14ac:dyDescent="0.25">
      <c r="A69" t="s">
        <v>109</v>
      </c>
      <c r="B69">
        <v>1.272813</v>
      </c>
      <c r="C69">
        <v>-118.76300000000001</v>
      </c>
      <c r="D69">
        <v>-140.779</v>
      </c>
      <c r="E69">
        <v>0.65296200000000004</v>
      </c>
      <c r="F69" t="s">
        <v>57</v>
      </c>
    </row>
    <row r="70" spans="1:6" x14ac:dyDescent="0.25">
      <c r="A70" t="s">
        <v>110</v>
      </c>
      <c r="B70">
        <v>1.303294</v>
      </c>
      <c r="C70">
        <v>-118.71599999999999</v>
      </c>
      <c r="D70">
        <v>-141.935</v>
      </c>
      <c r="E70">
        <v>0.67043299999999995</v>
      </c>
      <c r="F70" t="s">
        <v>26</v>
      </c>
    </row>
    <row r="71" spans="1:6" x14ac:dyDescent="0.25">
      <c r="A71" t="s">
        <v>111</v>
      </c>
      <c r="B71">
        <v>1.318875</v>
      </c>
      <c r="C71">
        <v>-118.587</v>
      </c>
      <c r="D71">
        <v>-141.126</v>
      </c>
      <c r="E71">
        <v>0.67674699999999999</v>
      </c>
      <c r="F71" t="s">
        <v>13</v>
      </c>
    </row>
    <row r="72" spans="1:6" x14ac:dyDescent="0.25">
      <c r="A72" t="s">
        <v>112</v>
      </c>
      <c r="B72">
        <v>1.3024070000000001</v>
      </c>
      <c r="C72">
        <v>-118.574</v>
      </c>
      <c r="D72">
        <v>-141.982</v>
      </c>
      <c r="E72">
        <v>0.66809099999999999</v>
      </c>
      <c r="F72" t="s">
        <v>19</v>
      </c>
    </row>
    <row r="73" spans="1:6" x14ac:dyDescent="0.25">
      <c r="A73" t="s">
        <v>113</v>
      </c>
      <c r="B73">
        <v>1.3102370000000001</v>
      </c>
      <c r="C73">
        <v>-118.571</v>
      </c>
      <c r="D73">
        <v>-142.732</v>
      </c>
      <c r="E73">
        <v>0.67134000000000005</v>
      </c>
      <c r="F73" t="s">
        <v>22</v>
      </c>
    </row>
    <row r="74" spans="1:6" x14ac:dyDescent="0.25">
      <c r="A74" t="s">
        <v>114</v>
      </c>
      <c r="B74">
        <v>1.3315090000000001</v>
      </c>
      <c r="C74">
        <v>-118.56699999999999</v>
      </c>
      <c r="D74">
        <v>-140.357</v>
      </c>
      <c r="E74">
        <v>0.68059700000000001</v>
      </c>
      <c r="F74" t="s">
        <v>11</v>
      </c>
    </row>
    <row r="75" spans="1:6" x14ac:dyDescent="0.25">
      <c r="A75" t="s">
        <v>115</v>
      </c>
      <c r="B75">
        <v>1.2970710000000001</v>
      </c>
      <c r="C75">
        <v>-118.54300000000001</v>
      </c>
      <c r="D75">
        <v>-142.65600000000001</v>
      </c>
      <c r="E75">
        <v>0.66367100000000001</v>
      </c>
      <c r="F75" t="s">
        <v>13</v>
      </c>
    </row>
    <row r="76" spans="1:6" x14ac:dyDescent="0.25">
      <c r="A76" t="s">
        <v>116</v>
      </c>
      <c r="B76">
        <v>1.262413</v>
      </c>
      <c r="C76">
        <v>-118.492</v>
      </c>
      <c r="D76">
        <v>-141.31399999999999</v>
      </c>
      <c r="E76">
        <v>0.64851300000000001</v>
      </c>
      <c r="F76" t="s">
        <v>24</v>
      </c>
    </row>
    <row r="77" spans="1:6" x14ac:dyDescent="0.25">
      <c r="A77" t="s">
        <v>117</v>
      </c>
      <c r="B77" t="s">
        <v>118</v>
      </c>
      <c r="C77">
        <f>-118.433 -114.846</f>
        <v>-233.279</v>
      </c>
      <c r="D77">
        <f>-140.573 -137.916</f>
        <v>-278.48900000000003</v>
      </c>
      <c r="E77" t="s">
        <v>119</v>
      </c>
      <c r="F77" t="s">
        <v>37</v>
      </c>
    </row>
    <row r="78" spans="1:6" x14ac:dyDescent="0.25">
      <c r="A78" t="s">
        <v>120</v>
      </c>
      <c r="B78">
        <v>1.3225480000000001</v>
      </c>
      <c r="C78">
        <v>-118.393</v>
      </c>
      <c r="D78">
        <v>-142.465</v>
      </c>
      <c r="E78">
        <v>0.67719099999999999</v>
      </c>
      <c r="F78" t="s">
        <v>11</v>
      </c>
    </row>
    <row r="79" spans="1:6" x14ac:dyDescent="0.25">
      <c r="A79" t="s">
        <v>121</v>
      </c>
      <c r="B79">
        <v>1.273952</v>
      </c>
      <c r="C79">
        <v>-118.39100000000001</v>
      </c>
      <c r="D79">
        <v>-141.73099999999999</v>
      </c>
      <c r="E79">
        <v>0.65320500000000004</v>
      </c>
      <c r="F79" t="s">
        <v>24</v>
      </c>
    </row>
    <row r="80" spans="1:6" x14ac:dyDescent="0.25">
      <c r="A80" t="s">
        <v>122</v>
      </c>
      <c r="B80">
        <v>1.3034650000000001</v>
      </c>
      <c r="C80">
        <v>-118.383</v>
      </c>
      <c r="D80">
        <v>-140.67699999999999</v>
      </c>
      <c r="E80">
        <v>0.66762900000000003</v>
      </c>
      <c r="F80" t="s">
        <v>11</v>
      </c>
    </row>
    <row r="81" spans="1:6" x14ac:dyDescent="0.25">
      <c r="A81" t="s">
        <v>123</v>
      </c>
      <c r="B81">
        <v>1.278993</v>
      </c>
      <c r="C81">
        <v>-118.322</v>
      </c>
      <c r="D81">
        <v>-141.88</v>
      </c>
      <c r="E81">
        <v>0.65551099999999995</v>
      </c>
      <c r="F81" t="s">
        <v>124</v>
      </c>
    </row>
    <row r="82" spans="1:6" x14ac:dyDescent="0.25">
      <c r="A82" t="s">
        <v>125</v>
      </c>
      <c r="B82">
        <v>1.301086</v>
      </c>
      <c r="C82">
        <v>-118.29900000000001</v>
      </c>
      <c r="D82">
        <v>-141.613</v>
      </c>
      <c r="E82">
        <v>0.66545600000000005</v>
      </c>
      <c r="F82" t="s">
        <v>13</v>
      </c>
    </row>
    <row r="83" spans="1:6" x14ac:dyDescent="0.25">
      <c r="A83" t="s">
        <v>126</v>
      </c>
      <c r="B83" t="s">
        <v>127</v>
      </c>
      <c r="C83">
        <f>-118.198 -114.81</f>
        <v>-233.00799999999998</v>
      </c>
      <c r="D83">
        <f>-140.889 -138.189</f>
        <v>-279.07799999999997</v>
      </c>
      <c r="E83" t="s">
        <v>128</v>
      </c>
      <c r="F83" t="s">
        <v>87</v>
      </c>
    </row>
    <row r="84" spans="1:6" x14ac:dyDescent="0.25">
      <c r="A84" t="s">
        <v>129</v>
      </c>
      <c r="B84">
        <v>1.279128</v>
      </c>
      <c r="C84">
        <v>-118.173</v>
      </c>
      <c r="D84">
        <v>-141.73500000000001</v>
      </c>
      <c r="E84">
        <v>0.65494200000000002</v>
      </c>
      <c r="F84" t="s">
        <v>24</v>
      </c>
    </row>
    <row r="85" spans="1:6" x14ac:dyDescent="0.25">
      <c r="A85" t="s">
        <v>130</v>
      </c>
      <c r="B85">
        <v>1.3092410000000001</v>
      </c>
      <c r="C85">
        <v>-118.15</v>
      </c>
      <c r="D85">
        <v>-140.988</v>
      </c>
      <c r="E85">
        <v>0.66981100000000005</v>
      </c>
      <c r="F85" t="s">
        <v>13</v>
      </c>
    </row>
    <row r="86" spans="1:6" x14ac:dyDescent="0.25">
      <c r="A86" t="s">
        <v>131</v>
      </c>
      <c r="B86">
        <v>1.2815920000000001</v>
      </c>
      <c r="C86">
        <v>-118.145</v>
      </c>
      <c r="D86">
        <v>-141.10900000000001</v>
      </c>
      <c r="E86">
        <v>0.65979500000000002</v>
      </c>
      <c r="F86" t="s">
        <v>13</v>
      </c>
    </row>
    <row r="87" spans="1:6" x14ac:dyDescent="0.25">
      <c r="A87" t="s">
        <v>132</v>
      </c>
      <c r="B87">
        <v>1.2764549999999999</v>
      </c>
      <c r="C87">
        <v>-118.14100000000001</v>
      </c>
      <c r="D87">
        <v>-140.54599999999999</v>
      </c>
      <c r="E87">
        <v>0.65410999999999997</v>
      </c>
      <c r="F87" t="s">
        <v>13</v>
      </c>
    </row>
    <row r="88" spans="1:6" x14ac:dyDescent="0.25">
      <c r="A88" t="s">
        <v>133</v>
      </c>
      <c r="B88" t="s">
        <v>134</v>
      </c>
      <c r="C88">
        <f>-118.139 -117.539</f>
        <v>-235.678</v>
      </c>
      <c r="D88">
        <f>-139.852 -140.414</f>
        <v>-280.26599999999996</v>
      </c>
      <c r="E88" t="s">
        <v>135</v>
      </c>
      <c r="F88" t="s">
        <v>31</v>
      </c>
    </row>
    <row r="89" spans="1:6" x14ac:dyDescent="0.25">
      <c r="A89" t="s">
        <v>136</v>
      </c>
      <c r="B89">
        <v>1.2650079999999999</v>
      </c>
      <c r="C89">
        <v>-118.13500000000001</v>
      </c>
      <c r="D89">
        <v>-141.88499999999999</v>
      </c>
      <c r="E89">
        <v>0.64773999999999998</v>
      </c>
      <c r="F89" t="s">
        <v>24</v>
      </c>
    </row>
    <row r="90" spans="1:6" x14ac:dyDescent="0.25">
      <c r="A90" t="s">
        <v>137</v>
      </c>
      <c r="B90">
        <v>1.2912060000000001</v>
      </c>
      <c r="C90">
        <v>-118.10299999999999</v>
      </c>
      <c r="D90">
        <v>-139.17400000000001</v>
      </c>
      <c r="E90">
        <v>0.662107</v>
      </c>
      <c r="F90" t="s">
        <v>16</v>
      </c>
    </row>
    <row r="91" spans="1:6" x14ac:dyDescent="0.25">
      <c r="A91" t="s">
        <v>138</v>
      </c>
      <c r="B91">
        <v>1.3030330000000001</v>
      </c>
      <c r="C91">
        <v>-118.086</v>
      </c>
      <c r="D91">
        <v>-141.078</v>
      </c>
      <c r="E91">
        <v>0.66817000000000004</v>
      </c>
      <c r="F91" t="s">
        <v>11</v>
      </c>
    </row>
    <row r="92" spans="1:6" x14ac:dyDescent="0.25">
      <c r="A92" t="s">
        <v>139</v>
      </c>
      <c r="B92">
        <v>1.2907029999999999</v>
      </c>
      <c r="C92">
        <v>-118.07899999999999</v>
      </c>
      <c r="D92">
        <v>-142.53299999999999</v>
      </c>
      <c r="E92">
        <v>0.66468300000000002</v>
      </c>
      <c r="F92" t="s">
        <v>140</v>
      </c>
    </row>
    <row r="93" spans="1:6" x14ac:dyDescent="0.25">
      <c r="A93" t="s">
        <v>141</v>
      </c>
      <c r="B93">
        <v>1.2994129999999999</v>
      </c>
      <c r="C93">
        <v>-118.078</v>
      </c>
      <c r="D93">
        <v>-141.18600000000001</v>
      </c>
      <c r="E93">
        <v>0.66837100000000005</v>
      </c>
      <c r="F93" t="s">
        <v>11</v>
      </c>
    </row>
    <row r="94" spans="1:6" x14ac:dyDescent="0.25">
      <c r="A94" t="s">
        <v>142</v>
      </c>
      <c r="B94">
        <v>1.3152459999999999</v>
      </c>
      <c r="C94">
        <v>-118.072</v>
      </c>
      <c r="D94">
        <v>-140.65</v>
      </c>
      <c r="E94">
        <v>0.67451000000000005</v>
      </c>
      <c r="F94" t="s">
        <v>13</v>
      </c>
    </row>
    <row r="95" spans="1:6" x14ac:dyDescent="0.25">
      <c r="A95" t="s">
        <v>143</v>
      </c>
      <c r="B95">
        <v>1.2818419999999999</v>
      </c>
      <c r="C95">
        <v>-118.04600000000001</v>
      </c>
      <c r="D95">
        <v>-140.29900000000001</v>
      </c>
      <c r="E95">
        <v>0.65651800000000005</v>
      </c>
      <c r="F95" t="s">
        <v>144</v>
      </c>
    </row>
    <row r="96" spans="1:6" x14ac:dyDescent="0.25">
      <c r="A96" t="s">
        <v>145</v>
      </c>
      <c r="B96">
        <v>1.3004</v>
      </c>
      <c r="C96">
        <v>-118.021</v>
      </c>
      <c r="D96">
        <v>-140.63399999999999</v>
      </c>
      <c r="E96">
        <v>0.66672900000000002</v>
      </c>
      <c r="F96" t="s">
        <v>26</v>
      </c>
    </row>
    <row r="97" spans="1:6" x14ac:dyDescent="0.25">
      <c r="A97" t="s">
        <v>146</v>
      </c>
      <c r="B97" t="s">
        <v>147</v>
      </c>
      <c r="C97">
        <f>-118.005 -122.768</f>
        <v>-240.773</v>
      </c>
      <c r="D97">
        <f>-141.396 -146.063</f>
        <v>-287.45899999999995</v>
      </c>
      <c r="E97" t="s">
        <v>148</v>
      </c>
      <c r="F97" t="s">
        <v>87</v>
      </c>
    </row>
    <row r="98" spans="1:6" x14ac:dyDescent="0.25">
      <c r="A98" t="s">
        <v>149</v>
      </c>
      <c r="B98">
        <v>1.330212</v>
      </c>
      <c r="C98">
        <v>-117.93600000000001</v>
      </c>
      <c r="D98">
        <v>-140.512</v>
      </c>
      <c r="E98">
        <v>0.68462900000000004</v>
      </c>
      <c r="F98" t="s">
        <v>22</v>
      </c>
    </row>
    <row r="99" spans="1:6" x14ac:dyDescent="0.25">
      <c r="A99" t="s">
        <v>150</v>
      </c>
      <c r="B99">
        <v>1.324843</v>
      </c>
      <c r="C99">
        <v>-117.899</v>
      </c>
      <c r="D99">
        <v>-140.33099999999999</v>
      </c>
      <c r="E99">
        <v>0.67967100000000003</v>
      </c>
      <c r="F99" t="s">
        <v>13</v>
      </c>
    </row>
    <row r="100" spans="1:6" x14ac:dyDescent="0.25">
      <c r="A100" t="s">
        <v>151</v>
      </c>
      <c r="B100">
        <v>1.275336</v>
      </c>
      <c r="C100">
        <v>-117.871</v>
      </c>
      <c r="D100">
        <v>-141.87</v>
      </c>
      <c r="E100">
        <v>0.65494699999999995</v>
      </c>
      <c r="F100" t="s">
        <v>8</v>
      </c>
    </row>
    <row r="101" spans="1:6" x14ac:dyDescent="0.25">
      <c r="A101" t="s">
        <v>152</v>
      </c>
      <c r="B101">
        <v>1.3208070000000001</v>
      </c>
      <c r="C101">
        <v>-117.869</v>
      </c>
      <c r="D101">
        <v>-140.506</v>
      </c>
      <c r="E101">
        <v>0.67626200000000003</v>
      </c>
      <c r="F101" t="s">
        <v>57</v>
      </c>
    </row>
    <row r="102" spans="1:6" x14ac:dyDescent="0.25">
      <c r="A102" t="s">
        <v>153</v>
      </c>
      <c r="B102">
        <v>1.3014300000000001</v>
      </c>
      <c r="C102">
        <v>-117.84399999999999</v>
      </c>
      <c r="D102">
        <v>-140.30799999999999</v>
      </c>
      <c r="E102">
        <v>0.66571599999999997</v>
      </c>
      <c r="F102" t="s">
        <v>26</v>
      </c>
    </row>
    <row r="103" spans="1:6" x14ac:dyDescent="0.25">
      <c r="A103" t="s">
        <v>154</v>
      </c>
      <c r="B103">
        <v>1.2959339999999999</v>
      </c>
      <c r="C103">
        <v>-117.84</v>
      </c>
      <c r="D103">
        <v>-141.83600000000001</v>
      </c>
      <c r="E103">
        <v>0.66395099999999996</v>
      </c>
      <c r="F103" t="s">
        <v>49</v>
      </c>
    </row>
    <row r="104" spans="1:6" x14ac:dyDescent="0.25">
      <c r="A104" t="s">
        <v>155</v>
      </c>
      <c r="B104">
        <v>1.2680910000000001</v>
      </c>
      <c r="C104">
        <v>-117.81699999999999</v>
      </c>
      <c r="D104">
        <v>-141.553</v>
      </c>
      <c r="E104">
        <v>0.65240699999999996</v>
      </c>
      <c r="F104" t="s">
        <v>26</v>
      </c>
    </row>
    <row r="105" spans="1:6" x14ac:dyDescent="0.25">
      <c r="A105" t="s">
        <v>156</v>
      </c>
      <c r="B105">
        <v>1.2822990000000001</v>
      </c>
      <c r="C105">
        <v>-117.765</v>
      </c>
      <c r="D105">
        <v>-142.04300000000001</v>
      </c>
      <c r="E105">
        <v>0.65686500000000003</v>
      </c>
      <c r="F105" t="s">
        <v>57</v>
      </c>
    </row>
    <row r="106" spans="1:6" x14ac:dyDescent="0.25">
      <c r="A106" t="s">
        <v>157</v>
      </c>
      <c r="B106">
        <v>1.314513</v>
      </c>
      <c r="C106">
        <v>-117.729</v>
      </c>
      <c r="D106">
        <v>-139.97200000000001</v>
      </c>
      <c r="E106">
        <v>0.67357299999999998</v>
      </c>
      <c r="F106" t="s">
        <v>26</v>
      </c>
    </row>
    <row r="107" spans="1:6" x14ac:dyDescent="0.25">
      <c r="A107" t="s">
        <v>158</v>
      </c>
      <c r="B107">
        <v>1.2877719999999999</v>
      </c>
      <c r="C107">
        <v>-117.724</v>
      </c>
      <c r="D107">
        <v>-139.27600000000001</v>
      </c>
      <c r="E107">
        <v>0.660304</v>
      </c>
      <c r="F107" t="s">
        <v>26</v>
      </c>
    </row>
    <row r="108" spans="1:6" x14ac:dyDescent="0.25">
      <c r="A108" t="s">
        <v>159</v>
      </c>
      <c r="B108">
        <v>1.279137</v>
      </c>
      <c r="C108">
        <v>-117.714</v>
      </c>
      <c r="D108">
        <v>-141.08600000000001</v>
      </c>
      <c r="E108">
        <v>0.65419099999999997</v>
      </c>
      <c r="F108" t="s">
        <v>24</v>
      </c>
    </row>
    <row r="109" spans="1:6" x14ac:dyDescent="0.25">
      <c r="A109" t="s">
        <v>160</v>
      </c>
      <c r="B109">
        <v>1.291455</v>
      </c>
      <c r="C109">
        <v>-117.69199999999999</v>
      </c>
      <c r="D109">
        <v>-141.16300000000001</v>
      </c>
      <c r="E109">
        <v>0.66026399999999996</v>
      </c>
      <c r="F109" t="s">
        <v>22</v>
      </c>
    </row>
    <row r="110" spans="1:6" x14ac:dyDescent="0.25">
      <c r="A110" t="s">
        <v>161</v>
      </c>
      <c r="B110">
        <v>1.275304</v>
      </c>
      <c r="C110">
        <v>-117.622</v>
      </c>
      <c r="D110">
        <v>-140.32300000000001</v>
      </c>
      <c r="E110">
        <v>0.65473300000000001</v>
      </c>
      <c r="F110" t="s">
        <v>16</v>
      </c>
    </row>
    <row r="111" spans="1:6" x14ac:dyDescent="0.25">
      <c r="A111" t="s">
        <v>162</v>
      </c>
      <c r="B111">
        <v>1.2749950000000001</v>
      </c>
      <c r="C111">
        <v>-117.59399999999999</v>
      </c>
      <c r="D111">
        <v>-141.434</v>
      </c>
      <c r="E111">
        <v>0.65539199999999997</v>
      </c>
      <c r="F111" t="s">
        <v>8</v>
      </c>
    </row>
    <row r="112" spans="1:6" x14ac:dyDescent="0.25">
      <c r="A112" t="s">
        <v>163</v>
      </c>
      <c r="B112">
        <v>1.2538860000000001</v>
      </c>
      <c r="C112">
        <v>-117.58799999999999</v>
      </c>
      <c r="D112">
        <v>-141.86600000000001</v>
      </c>
      <c r="E112">
        <v>0.64589099999999999</v>
      </c>
      <c r="F112" t="s">
        <v>22</v>
      </c>
    </row>
    <row r="113" spans="1:6" x14ac:dyDescent="0.25">
      <c r="A113" t="s">
        <v>164</v>
      </c>
      <c r="B113" t="s">
        <v>165</v>
      </c>
      <c r="C113">
        <f>-117.558 -115.927</f>
        <v>-233.48500000000001</v>
      </c>
      <c r="D113">
        <f>-141.073 -138.39</f>
        <v>-279.46299999999997</v>
      </c>
      <c r="E113" t="s">
        <v>166</v>
      </c>
      <c r="F113" t="s">
        <v>87</v>
      </c>
    </row>
    <row r="114" spans="1:6" x14ac:dyDescent="0.25">
      <c r="A114" t="s">
        <v>167</v>
      </c>
      <c r="B114">
        <v>1.268786</v>
      </c>
      <c r="C114">
        <v>-117.542</v>
      </c>
      <c r="D114">
        <v>-140.80500000000001</v>
      </c>
      <c r="E114">
        <v>0.64881299999999997</v>
      </c>
      <c r="F114" t="s">
        <v>11</v>
      </c>
    </row>
    <row r="115" spans="1:6" x14ac:dyDescent="0.25">
      <c r="A115" t="s">
        <v>168</v>
      </c>
      <c r="B115">
        <v>1.260437</v>
      </c>
      <c r="C115">
        <v>-117.512</v>
      </c>
      <c r="D115">
        <v>-117.512</v>
      </c>
      <c r="E115">
        <v>0.64401299999999995</v>
      </c>
      <c r="F115" t="s">
        <v>169</v>
      </c>
    </row>
    <row r="116" spans="1:6" x14ac:dyDescent="0.25">
      <c r="A116" t="s">
        <v>170</v>
      </c>
      <c r="B116">
        <v>1.3117650000000001</v>
      </c>
      <c r="C116">
        <v>-117.502</v>
      </c>
      <c r="D116">
        <v>-139.01900000000001</v>
      </c>
      <c r="E116">
        <v>0.67287799999999998</v>
      </c>
      <c r="F116" t="s">
        <v>8</v>
      </c>
    </row>
    <row r="117" spans="1:6" x14ac:dyDescent="0.25">
      <c r="A117" t="s">
        <v>171</v>
      </c>
      <c r="B117">
        <v>1.301893</v>
      </c>
      <c r="C117">
        <v>-117.4</v>
      </c>
      <c r="D117">
        <v>-142.63900000000001</v>
      </c>
      <c r="E117">
        <v>0.66766700000000001</v>
      </c>
      <c r="F117" t="s">
        <v>13</v>
      </c>
    </row>
    <row r="118" spans="1:6" x14ac:dyDescent="0.25">
      <c r="A118" t="s">
        <v>172</v>
      </c>
      <c r="B118">
        <v>1.293458</v>
      </c>
      <c r="C118">
        <v>-117.39</v>
      </c>
      <c r="D118">
        <v>-141.05699999999999</v>
      </c>
      <c r="E118">
        <v>0.66261800000000004</v>
      </c>
      <c r="F118" t="s">
        <v>24</v>
      </c>
    </row>
    <row r="119" spans="1:6" x14ac:dyDescent="0.25">
      <c r="A119" t="s">
        <v>173</v>
      </c>
      <c r="B119">
        <v>1.2679069999999999</v>
      </c>
      <c r="C119">
        <v>-117.38200000000001</v>
      </c>
      <c r="D119">
        <v>-141.39099999999999</v>
      </c>
      <c r="E119">
        <v>0.65214399999999995</v>
      </c>
      <c r="F119" t="s">
        <v>26</v>
      </c>
    </row>
    <row r="120" spans="1:6" x14ac:dyDescent="0.25">
      <c r="A120" t="s">
        <v>174</v>
      </c>
      <c r="B120">
        <v>1.2854680000000001</v>
      </c>
      <c r="C120">
        <v>-117.265</v>
      </c>
      <c r="D120">
        <v>-139.50700000000001</v>
      </c>
      <c r="E120">
        <v>0.65856999999999999</v>
      </c>
      <c r="F120" t="s">
        <v>26</v>
      </c>
    </row>
    <row r="121" spans="1:6" x14ac:dyDescent="0.25">
      <c r="A121" t="s">
        <v>175</v>
      </c>
      <c r="B121">
        <v>1.310406</v>
      </c>
      <c r="C121">
        <v>-117.206</v>
      </c>
      <c r="D121">
        <v>-139.50800000000001</v>
      </c>
      <c r="E121">
        <v>0.67163300000000004</v>
      </c>
      <c r="F121" t="s">
        <v>26</v>
      </c>
    </row>
    <row r="122" spans="1:6" x14ac:dyDescent="0.25">
      <c r="A122" t="s">
        <v>176</v>
      </c>
      <c r="B122">
        <v>1.31467</v>
      </c>
      <c r="C122">
        <v>-117.136</v>
      </c>
      <c r="D122">
        <v>-140.41999999999999</v>
      </c>
      <c r="E122">
        <v>0.67402099999999998</v>
      </c>
      <c r="F122" t="s">
        <v>57</v>
      </c>
    </row>
    <row r="123" spans="1:6" x14ac:dyDescent="0.25">
      <c r="A123" t="s">
        <v>177</v>
      </c>
      <c r="B123">
        <v>1.293371</v>
      </c>
      <c r="C123">
        <v>-117.123</v>
      </c>
      <c r="D123">
        <v>-139.96899999999999</v>
      </c>
      <c r="E123">
        <v>0.66187700000000005</v>
      </c>
      <c r="F123" t="s">
        <v>13</v>
      </c>
    </row>
    <row r="124" spans="1:6" x14ac:dyDescent="0.25">
      <c r="A124" t="s">
        <v>178</v>
      </c>
      <c r="B124">
        <v>1.296923</v>
      </c>
      <c r="C124">
        <v>-117.12</v>
      </c>
      <c r="D124">
        <v>-138.672</v>
      </c>
      <c r="E124">
        <v>0.66622599999999998</v>
      </c>
      <c r="F124" t="s">
        <v>16</v>
      </c>
    </row>
    <row r="125" spans="1:6" x14ac:dyDescent="0.25">
      <c r="A125" t="s">
        <v>179</v>
      </c>
      <c r="B125">
        <v>1.2761389999999999</v>
      </c>
      <c r="C125">
        <v>-117.093</v>
      </c>
      <c r="D125">
        <v>-140.89599999999999</v>
      </c>
      <c r="E125">
        <v>0.65315699999999999</v>
      </c>
      <c r="F125" t="s">
        <v>180</v>
      </c>
    </row>
    <row r="126" spans="1:6" x14ac:dyDescent="0.25">
      <c r="A126" t="s">
        <v>181</v>
      </c>
      <c r="B126">
        <v>1.2678739999999999</v>
      </c>
      <c r="C126">
        <v>-117.092</v>
      </c>
      <c r="D126">
        <v>-138.16200000000001</v>
      </c>
      <c r="E126">
        <v>0.652285</v>
      </c>
      <c r="F126" t="s">
        <v>16</v>
      </c>
    </row>
    <row r="127" spans="1:6" x14ac:dyDescent="0.25">
      <c r="A127" t="s">
        <v>182</v>
      </c>
      <c r="B127">
        <v>1.269911</v>
      </c>
      <c r="C127">
        <v>-117.06699999999999</v>
      </c>
      <c r="D127">
        <v>-140.77500000000001</v>
      </c>
      <c r="E127">
        <v>0.65266800000000003</v>
      </c>
      <c r="F127" t="s">
        <v>24</v>
      </c>
    </row>
    <row r="128" spans="1:6" x14ac:dyDescent="0.25">
      <c r="A128" t="s">
        <v>183</v>
      </c>
      <c r="B128">
        <v>1.3073109999999999</v>
      </c>
      <c r="C128">
        <v>-117.018</v>
      </c>
      <c r="D128">
        <v>-138.125</v>
      </c>
      <c r="E128">
        <v>0.66916299999999995</v>
      </c>
      <c r="F128" t="s">
        <v>26</v>
      </c>
    </row>
    <row r="129" spans="1:6" x14ac:dyDescent="0.25">
      <c r="A129" t="s">
        <v>184</v>
      </c>
      <c r="B129" t="s">
        <v>185</v>
      </c>
      <c r="C129">
        <f>-116.989 -109.99</f>
        <v>-226.97899999999998</v>
      </c>
      <c r="D129">
        <f>-140.555 -134.444</f>
        <v>-274.99900000000002</v>
      </c>
      <c r="E129" t="s">
        <v>186</v>
      </c>
      <c r="F129" t="s">
        <v>187</v>
      </c>
    </row>
    <row r="130" spans="1:6" x14ac:dyDescent="0.25">
      <c r="A130" t="s">
        <v>188</v>
      </c>
      <c r="B130">
        <v>1.3243339999999999</v>
      </c>
      <c r="C130">
        <v>-116.959</v>
      </c>
      <c r="D130">
        <v>-139.227</v>
      </c>
      <c r="E130">
        <v>0.68008400000000002</v>
      </c>
      <c r="F130" t="s">
        <v>24</v>
      </c>
    </row>
    <row r="131" spans="1:6" x14ac:dyDescent="0.25">
      <c r="A131" t="s">
        <v>189</v>
      </c>
      <c r="B131">
        <v>1.30193</v>
      </c>
      <c r="C131">
        <v>-116.943</v>
      </c>
      <c r="D131">
        <v>-138.71</v>
      </c>
      <c r="E131">
        <v>0.67173099999999997</v>
      </c>
      <c r="F131" t="s">
        <v>26</v>
      </c>
    </row>
    <row r="132" spans="1:6" x14ac:dyDescent="0.25">
      <c r="A132" t="s">
        <v>190</v>
      </c>
      <c r="B132">
        <v>1.32708</v>
      </c>
      <c r="C132">
        <v>-116.88200000000001</v>
      </c>
      <c r="D132">
        <v>-140.12299999999999</v>
      </c>
      <c r="E132">
        <v>0.68010899999999996</v>
      </c>
      <c r="F132" t="s">
        <v>13</v>
      </c>
    </row>
    <row r="133" spans="1:6" x14ac:dyDescent="0.25">
      <c r="A133" t="s">
        <v>191</v>
      </c>
      <c r="B133">
        <v>1.2666710000000001</v>
      </c>
      <c r="C133">
        <v>-116.88</v>
      </c>
      <c r="D133">
        <v>-139.483</v>
      </c>
      <c r="E133">
        <v>0.64957399999999998</v>
      </c>
      <c r="F133" t="s">
        <v>13</v>
      </c>
    </row>
    <row r="134" spans="1:6" x14ac:dyDescent="0.25">
      <c r="A134" t="s">
        <v>192</v>
      </c>
      <c r="B134">
        <v>1.29745</v>
      </c>
      <c r="C134">
        <v>-116.851</v>
      </c>
      <c r="D134">
        <v>-140.30199999999999</v>
      </c>
      <c r="E134">
        <v>0.66669999999999996</v>
      </c>
      <c r="F134" t="s">
        <v>19</v>
      </c>
    </row>
    <row r="135" spans="1:6" x14ac:dyDescent="0.25">
      <c r="A135" t="s">
        <v>193</v>
      </c>
      <c r="B135">
        <v>1.2556799999999999</v>
      </c>
      <c r="C135">
        <v>-116.791</v>
      </c>
      <c r="D135">
        <v>-141.39500000000001</v>
      </c>
      <c r="E135">
        <v>0.64463300000000001</v>
      </c>
      <c r="F135" t="s">
        <v>194</v>
      </c>
    </row>
    <row r="136" spans="1:6" x14ac:dyDescent="0.25">
      <c r="A136" t="s">
        <v>195</v>
      </c>
      <c r="B136">
        <v>1.273045</v>
      </c>
      <c r="C136">
        <v>-116.72799999999999</v>
      </c>
      <c r="D136">
        <v>-140.733</v>
      </c>
      <c r="E136">
        <v>0.65355099999999999</v>
      </c>
      <c r="F136" t="s">
        <v>24</v>
      </c>
    </row>
    <row r="137" spans="1:6" x14ac:dyDescent="0.25">
      <c r="A137" t="s">
        <v>196</v>
      </c>
      <c r="B137">
        <v>1.324057</v>
      </c>
      <c r="C137">
        <v>-116.68300000000001</v>
      </c>
      <c r="D137">
        <v>-138.596</v>
      </c>
      <c r="E137">
        <v>0.68042599999999998</v>
      </c>
      <c r="F137" t="s">
        <v>13</v>
      </c>
    </row>
    <row r="138" spans="1:6" x14ac:dyDescent="0.25">
      <c r="A138" t="s">
        <v>197</v>
      </c>
      <c r="B138">
        <v>1.301037</v>
      </c>
      <c r="C138">
        <v>-116.68300000000001</v>
      </c>
      <c r="D138">
        <v>-139.32499999999999</v>
      </c>
      <c r="E138">
        <v>0.66770499999999999</v>
      </c>
      <c r="F138" t="s">
        <v>57</v>
      </c>
    </row>
    <row r="139" spans="1:6" x14ac:dyDescent="0.25">
      <c r="A139" t="s">
        <v>198</v>
      </c>
      <c r="B139">
        <v>1.284206</v>
      </c>
      <c r="C139">
        <v>-116.676</v>
      </c>
      <c r="D139">
        <v>-139.01599999999999</v>
      </c>
      <c r="E139">
        <v>0.65753700000000004</v>
      </c>
      <c r="F139" t="s">
        <v>13</v>
      </c>
    </row>
    <row r="140" spans="1:6" x14ac:dyDescent="0.25">
      <c r="A140" t="s">
        <v>199</v>
      </c>
      <c r="B140">
        <v>1.3044929999999999</v>
      </c>
      <c r="C140">
        <v>-116.658</v>
      </c>
      <c r="D140">
        <v>-141.78700000000001</v>
      </c>
      <c r="E140">
        <v>0.67053099999999999</v>
      </c>
      <c r="F140" t="s">
        <v>13</v>
      </c>
    </row>
    <row r="141" spans="1:6" x14ac:dyDescent="0.25">
      <c r="A141" t="s">
        <v>200</v>
      </c>
      <c r="B141">
        <v>1.2727520000000001</v>
      </c>
      <c r="C141">
        <v>-116.633</v>
      </c>
      <c r="D141">
        <v>-139.65199999999999</v>
      </c>
      <c r="E141">
        <v>0.65259800000000001</v>
      </c>
      <c r="F141" t="s">
        <v>201</v>
      </c>
    </row>
    <row r="142" spans="1:6" x14ac:dyDescent="0.25">
      <c r="A142" t="s">
        <v>202</v>
      </c>
      <c r="B142">
        <v>1.277199</v>
      </c>
      <c r="C142">
        <v>-116.59699999999999</v>
      </c>
      <c r="D142">
        <v>-139.94200000000001</v>
      </c>
      <c r="E142">
        <v>0.65723299999999996</v>
      </c>
      <c r="F142" t="s">
        <v>140</v>
      </c>
    </row>
    <row r="143" spans="1:6" x14ac:dyDescent="0.25">
      <c r="A143" t="s">
        <v>203</v>
      </c>
      <c r="B143">
        <v>1.280624</v>
      </c>
      <c r="C143">
        <v>-116.59</v>
      </c>
      <c r="D143">
        <v>-140.017</v>
      </c>
      <c r="E143">
        <v>0.65718600000000005</v>
      </c>
      <c r="F143" t="s">
        <v>11</v>
      </c>
    </row>
    <row r="144" spans="1:6" x14ac:dyDescent="0.25">
      <c r="A144" t="s">
        <v>204</v>
      </c>
      <c r="B144">
        <v>1.3113699999999999</v>
      </c>
      <c r="C144">
        <v>-116.569</v>
      </c>
      <c r="D144">
        <v>-139.23099999999999</v>
      </c>
      <c r="E144">
        <v>0.67303500000000005</v>
      </c>
      <c r="F144" t="s">
        <v>57</v>
      </c>
    </row>
    <row r="145" spans="1:6" x14ac:dyDescent="0.25">
      <c r="A145" t="s">
        <v>205</v>
      </c>
      <c r="B145">
        <v>1.279741</v>
      </c>
      <c r="C145">
        <v>-116.568</v>
      </c>
      <c r="D145">
        <v>-139.10300000000001</v>
      </c>
      <c r="E145">
        <v>0.65267799999999998</v>
      </c>
      <c r="F145" t="s">
        <v>24</v>
      </c>
    </row>
    <row r="146" spans="1:6" x14ac:dyDescent="0.25">
      <c r="A146" t="s">
        <v>206</v>
      </c>
      <c r="B146">
        <v>1.2792840000000001</v>
      </c>
      <c r="C146">
        <v>-116.566</v>
      </c>
      <c r="D146">
        <v>-139.25200000000001</v>
      </c>
      <c r="E146">
        <v>0.65600499999999995</v>
      </c>
      <c r="F146" t="s">
        <v>13</v>
      </c>
    </row>
    <row r="147" spans="1:6" x14ac:dyDescent="0.25">
      <c r="A147" t="s">
        <v>207</v>
      </c>
      <c r="B147" t="s">
        <v>208</v>
      </c>
      <c r="C147">
        <f>-116.547 -116.307</f>
        <v>-232.85399999999998</v>
      </c>
      <c r="D147">
        <f>-139.19 -140.389</f>
        <v>-279.57900000000001</v>
      </c>
      <c r="E147" t="s">
        <v>209</v>
      </c>
      <c r="F147" t="s">
        <v>37</v>
      </c>
    </row>
    <row r="148" spans="1:6" x14ac:dyDescent="0.25">
      <c r="A148" t="s">
        <v>210</v>
      </c>
      <c r="B148">
        <v>1.248202</v>
      </c>
      <c r="C148">
        <v>-116.51</v>
      </c>
      <c r="D148">
        <v>-116.51</v>
      </c>
      <c r="E148">
        <v>0.63560799999999995</v>
      </c>
      <c r="F148" t="s">
        <v>211</v>
      </c>
    </row>
    <row r="149" spans="1:6" x14ac:dyDescent="0.25">
      <c r="A149" t="s">
        <v>212</v>
      </c>
      <c r="B149" t="s">
        <v>213</v>
      </c>
      <c r="C149">
        <f>-116.496 -109.054</f>
        <v>-225.55</v>
      </c>
      <c r="D149">
        <f>-140.343 -132.766</f>
        <v>-273.10899999999998</v>
      </c>
      <c r="E149" t="s">
        <v>214</v>
      </c>
      <c r="F149" t="s">
        <v>77</v>
      </c>
    </row>
    <row r="150" spans="1:6" x14ac:dyDescent="0.25">
      <c r="A150" t="s">
        <v>215</v>
      </c>
      <c r="B150">
        <v>1.2781340000000001</v>
      </c>
      <c r="C150">
        <v>-116.47199999999999</v>
      </c>
      <c r="D150">
        <v>-139.92400000000001</v>
      </c>
      <c r="E150">
        <v>0.65486800000000001</v>
      </c>
      <c r="F150" t="s">
        <v>13</v>
      </c>
    </row>
    <row r="151" spans="1:6" x14ac:dyDescent="0.25">
      <c r="A151" t="s">
        <v>216</v>
      </c>
      <c r="B151">
        <v>1.2712239999999999</v>
      </c>
      <c r="C151">
        <v>-116.45099999999999</v>
      </c>
      <c r="D151">
        <v>-140.905</v>
      </c>
      <c r="E151">
        <v>0.65220699999999998</v>
      </c>
      <c r="F151" t="s">
        <v>24</v>
      </c>
    </row>
    <row r="152" spans="1:6" x14ac:dyDescent="0.25">
      <c r="A152" t="s">
        <v>217</v>
      </c>
      <c r="B152" t="s">
        <v>218</v>
      </c>
      <c r="C152">
        <f>-116.427 -116.393</f>
        <v>-232.82</v>
      </c>
      <c r="D152">
        <f>-138.335 -138.078</f>
        <v>-276.41300000000001</v>
      </c>
      <c r="E152" t="s">
        <v>219</v>
      </c>
      <c r="F152" t="s">
        <v>220</v>
      </c>
    </row>
    <row r="153" spans="1:6" x14ac:dyDescent="0.25">
      <c r="A153" t="s">
        <v>221</v>
      </c>
      <c r="B153">
        <v>1.298751</v>
      </c>
      <c r="C153">
        <v>-116.372</v>
      </c>
      <c r="D153">
        <v>-138.364</v>
      </c>
      <c r="E153">
        <v>0.66815800000000003</v>
      </c>
      <c r="F153" t="s">
        <v>16</v>
      </c>
    </row>
    <row r="154" spans="1:6" x14ac:dyDescent="0.25">
      <c r="A154" t="s">
        <v>222</v>
      </c>
      <c r="B154">
        <v>1.2935350000000001</v>
      </c>
      <c r="C154">
        <v>-116.351</v>
      </c>
      <c r="D154">
        <v>-137.99</v>
      </c>
      <c r="E154">
        <v>0.66527000000000003</v>
      </c>
      <c r="F154" t="s">
        <v>26</v>
      </c>
    </row>
    <row r="155" spans="1:6" x14ac:dyDescent="0.25">
      <c r="A155" t="s">
        <v>223</v>
      </c>
      <c r="B155">
        <v>1.2934019999999999</v>
      </c>
      <c r="C155">
        <v>-116.348</v>
      </c>
      <c r="D155">
        <v>-139.495</v>
      </c>
      <c r="E155">
        <v>0.66166599999999998</v>
      </c>
      <c r="F155" t="s">
        <v>11</v>
      </c>
    </row>
    <row r="156" spans="1:6" x14ac:dyDescent="0.25">
      <c r="A156" t="s">
        <v>224</v>
      </c>
      <c r="B156" t="s">
        <v>225</v>
      </c>
      <c r="C156">
        <f>-116.333 -117.385</f>
        <v>-233.71800000000002</v>
      </c>
      <c r="D156">
        <f>-139.507 -140.155</f>
        <v>-279.66200000000003</v>
      </c>
      <c r="E156" t="s">
        <v>226</v>
      </c>
      <c r="F156" t="s">
        <v>87</v>
      </c>
    </row>
    <row r="157" spans="1:6" x14ac:dyDescent="0.25">
      <c r="A157" t="s">
        <v>227</v>
      </c>
      <c r="B157">
        <v>1.2856920000000001</v>
      </c>
      <c r="C157">
        <v>-116.292</v>
      </c>
      <c r="D157">
        <v>-139.98400000000001</v>
      </c>
      <c r="E157">
        <v>0.65953399999999995</v>
      </c>
      <c r="F157" t="s">
        <v>13</v>
      </c>
    </row>
    <row r="158" spans="1:6" x14ac:dyDescent="0.25">
      <c r="A158" t="s">
        <v>228</v>
      </c>
      <c r="B158">
        <v>1.25217</v>
      </c>
      <c r="C158">
        <v>-116.247</v>
      </c>
      <c r="D158">
        <v>-139.399</v>
      </c>
      <c r="E158">
        <v>0.64133899999999999</v>
      </c>
      <c r="F158" t="s">
        <v>24</v>
      </c>
    </row>
    <row r="159" spans="1:6" x14ac:dyDescent="0.25">
      <c r="A159" t="s">
        <v>229</v>
      </c>
      <c r="B159">
        <v>1.2798020000000001</v>
      </c>
      <c r="C159">
        <v>-116.206</v>
      </c>
      <c r="D159">
        <v>-138.74299999999999</v>
      </c>
      <c r="E159">
        <v>0.65268899999999996</v>
      </c>
      <c r="F159" t="s">
        <v>24</v>
      </c>
    </row>
    <row r="160" spans="1:6" x14ac:dyDescent="0.25">
      <c r="A160" t="s">
        <v>230</v>
      </c>
      <c r="B160">
        <v>1.268141</v>
      </c>
      <c r="C160">
        <v>-116.203</v>
      </c>
      <c r="D160">
        <v>-116.203</v>
      </c>
      <c r="E160">
        <v>0.65044599999999997</v>
      </c>
      <c r="F160" t="s">
        <v>24</v>
      </c>
    </row>
    <row r="161" spans="1:6" x14ac:dyDescent="0.25">
      <c r="A161" t="s">
        <v>231</v>
      </c>
      <c r="B161">
        <v>1.3018639999999999</v>
      </c>
      <c r="C161">
        <v>-116.19799999999999</v>
      </c>
      <c r="D161">
        <v>-139.43899999999999</v>
      </c>
      <c r="E161">
        <v>0.66802600000000001</v>
      </c>
      <c r="F161" t="s">
        <v>11</v>
      </c>
    </row>
    <row r="162" spans="1:6" x14ac:dyDescent="0.25">
      <c r="A162" t="s">
        <v>232</v>
      </c>
      <c r="B162">
        <v>1.2890520000000001</v>
      </c>
      <c r="C162">
        <v>-116.197</v>
      </c>
      <c r="D162">
        <v>-116.197</v>
      </c>
      <c r="E162">
        <v>0.66026300000000004</v>
      </c>
      <c r="F162" t="s">
        <v>24</v>
      </c>
    </row>
    <row r="163" spans="1:6" x14ac:dyDescent="0.25">
      <c r="A163" t="s">
        <v>233</v>
      </c>
      <c r="B163" t="s">
        <v>234</v>
      </c>
      <c r="C163">
        <f>-116.184 -107.332</f>
        <v>-223.51599999999999</v>
      </c>
      <c r="D163">
        <f>-138.242 -131.087</f>
        <v>-269.32899999999995</v>
      </c>
      <c r="E163" t="s">
        <v>235</v>
      </c>
      <c r="F163" t="s">
        <v>220</v>
      </c>
    </row>
    <row r="164" spans="1:6" x14ac:dyDescent="0.25">
      <c r="A164" t="s">
        <v>236</v>
      </c>
      <c r="B164">
        <v>1.286904</v>
      </c>
      <c r="C164">
        <v>-116.14</v>
      </c>
      <c r="D164">
        <v>-138.98699999999999</v>
      </c>
      <c r="E164">
        <v>0.65902300000000003</v>
      </c>
      <c r="F164" t="s">
        <v>57</v>
      </c>
    </row>
    <row r="165" spans="1:6" x14ac:dyDescent="0.25">
      <c r="A165" t="s">
        <v>237</v>
      </c>
      <c r="B165">
        <v>1.2854909999999999</v>
      </c>
      <c r="C165">
        <v>-116.11799999999999</v>
      </c>
      <c r="D165">
        <v>-139.81800000000001</v>
      </c>
      <c r="E165">
        <v>0.65940299999999996</v>
      </c>
      <c r="F165" t="s">
        <v>13</v>
      </c>
    </row>
    <row r="166" spans="1:6" x14ac:dyDescent="0.25">
      <c r="A166" t="s">
        <v>238</v>
      </c>
      <c r="B166">
        <v>1.299453</v>
      </c>
      <c r="C166">
        <v>-116.107</v>
      </c>
      <c r="D166">
        <v>-138.43100000000001</v>
      </c>
      <c r="E166">
        <v>0.66639000000000004</v>
      </c>
      <c r="F166" t="s">
        <v>22</v>
      </c>
    </row>
    <row r="167" spans="1:6" x14ac:dyDescent="0.25">
      <c r="A167" t="s">
        <v>239</v>
      </c>
      <c r="B167">
        <v>1.338401</v>
      </c>
      <c r="C167">
        <v>-116.1</v>
      </c>
      <c r="D167">
        <v>-139.54900000000001</v>
      </c>
      <c r="E167">
        <v>0.68734899999999999</v>
      </c>
      <c r="F167" t="s">
        <v>13</v>
      </c>
    </row>
    <row r="168" spans="1:6" x14ac:dyDescent="0.25">
      <c r="A168" t="s">
        <v>240</v>
      </c>
      <c r="B168">
        <v>1.2969029999999999</v>
      </c>
      <c r="C168">
        <v>-116.06699999999999</v>
      </c>
      <c r="D168">
        <v>-139.536</v>
      </c>
      <c r="E168">
        <v>0.66350500000000001</v>
      </c>
      <c r="F168" t="s">
        <v>26</v>
      </c>
    </row>
    <row r="169" spans="1:6" x14ac:dyDescent="0.25">
      <c r="A169" t="s">
        <v>241</v>
      </c>
      <c r="B169">
        <v>1.2592540000000001</v>
      </c>
      <c r="C169">
        <v>-116.04</v>
      </c>
      <c r="D169">
        <v>-139.45699999999999</v>
      </c>
      <c r="E169">
        <v>0.64563999999999999</v>
      </c>
      <c r="F169" t="s">
        <v>22</v>
      </c>
    </row>
    <row r="170" spans="1:6" x14ac:dyDescent="0.25">
      <c r="A170" t="s">
        <v>242</v>
      </c>
      <c r="B170">
        <v>1.300743</v>
      </c>
      <c r="C170">
        <v>-115.97</v>
      </c>
      <c r="D170">
        <v>-138.82900000000001</v>
      </c>
      <c r="E170">
        <v>0.66950200000000004</v>
      </c>
      <c r="F170" t="s">
        <v>22</v>
      </c>
    </row>
    <row r="171" spans="1:6" x14ac:dyDescent="0.25">
      <c r="A171" t="s">
        <v>243</v>
      </c>
      <c r="B171">
        <v>1.2869679999999999</v>
      </c>
      <c r="C171">
        <v>-115.968</v>
      </c>
      <c r="D171">
        <v>-139.15299999999999</v>
      </c>
      <c r="E171">
        <v>0.66142199999999995</v>
      </c>
      <c r="F171" t="s">
        <v>24</v>
      </c>
    </row>
    <row r="172" spans="1:6" x14ac:dyDescent="0.25">
      <c r="A172" t="s">
        <v>244</v>
      </c>
      <c r="B172">
        <v>1.2795030000000001</v>
      </c>
      <c r="C172">
        <v>-115.953</v>
      </c>
      <c r="D172">
        <v>-138.83600000000001</v>
      </c>
      <c r="E172">
        <v>0.65508100000000002</v>
      </c>
      <c r="F172" t="s">
        <v>57</v>
      </c>
    </row>
    <row r="173" spans="1:6" x14ac:dyDescent="0.25">
      <c r="A173" t="s">
        <v>245</v>
      </c>
      <c r="B173">
        <v>1.283523</v>
      </c>
      <c r="C173">
        <v>-115.952</v>
      </c>
      <c r="D173">
        <v>-140.25</v>
      </c>
      <c r="E173">
        <v>0.65656099999999995</v>
      </c>
      <c r="F173" t="s">
        <v>246</v>
      </c>
    </row>
    <row r="174" spans="1:6" x14ac:dyDescent="0.25">
      <c r="A174" t="s">
        <v>247</v>
      </c>
      <c r="B174" t="s">
        <v>248</v>
      </c>
      <c r="C174">
        <f>-115.943 -111.617</f>
        <v>-227.56</v>
      </c>
      <c r="D174">
        <f>-139.732 -111.617</f>
        <v>-251.34899999999999</v>
      </c>
      <c r="E174" t="s">
        <v>249</v>
      </c>
      <c r="F174" t="s">
        <v>41</v>
      </c>
    </row>
    <row r="175" spans="1:6" x14ac:dyDescent="0.25">
      <c r="A175" t="s">
        <v>250</v>
      </c>
      <c r="B175" t="s">
        <v>251</v>
      </c>
      <c r="C175">
        <f>-115.939 -109.124</f>
        <v>-225.06299999999999</v>
      </c>
      <c r="D175">
        <f>-138.112 -132.572</f>
        <v>-270.68399999999997</v>
      </c>
      <c r="E175" t="s">
        <v>252</v>
      </c>
      <c r="F175" t="s">
        <v>87</v>
      </c>
    </row>
    <row r="176" spans="1:6" x14ac:dyDescent="0.25">
      <c r="A176" t="s">
        <v>253</v>
      </c>
      <c r="B176">
        <v>1.2975989999999999</v>
      </c>
      <c r="C176">
        <v>-115.922</v>
      </c>
      <c r="D176">
        <v>-139.09399999999999</v>
      </c>
      <c r="E176">
        <v>0.66489799999999999</v>
      </c>
      <c r="F176" t="s">
        <v>13</v>
      </c>
    </row>
    <row r="177" spans="1:6" x14ac:dyDescent="0.25">
      <c r="A177" t="s">
        <v>254</v>
      </c>
      <c r="B177">
        <v>1.2582720000000001</v>
      </c>
      <c r="C177">
        <v>-115.879</v>
      </c>
      <c r="D177">
        <v>-140.26900000000001</v>
      </c>
      <c r="E177">
        <v>0.64656899999999995</v>
      </c>
      <c r="F177" t="s">
        <v>22</v>
      </c>
    </row>
    <row r="178" spans="1:6" x14ac:dyDescent="0.25">
      <c r="A178" t="s">
        <v>255</v>
      </c>
      <c r="B178" t="s">
        <v>256</v>
      </c>
      <c r="C178">
        <f>-115.832 -112.283</f>
        <v>-228.11500000000001</v>
      </c>
      <c r="D178">
        <f>-139.661 -135.824</f>
        <v>-275.48500000000001</v>
      </c>
      <c r="E178" t="s">
        <v>257</v>
      </c>
      <c r="F178" t="s">
        <v>31</v>
      </c>
    </row>
    <row r="179" spans="1:6" x14ac:dyDescent="0.25">
      <c r="A179" t="s">
        <v>258</v>
      </c>
      <c r="B179">
        <v>1.2825880000000001</v>
      </c>
      <c r="C179">
        <v>-115.813</v>
      </c>
      <c r="D179">
        <v>-139.18100000000001</v>
      </c>
      <c r="E179">
        <v>0.65905199999999997</v>
      </c>
      <c r="F179" t="s">
        <v>24</v>
      </c>
    </row>
    <row r="180" spans="1:6" x14ac:dyDescent="0.25">
      <c r="A180" t="s">
        <v>259</v>
      </c>
      <c r="B180">
        <v>1.2558819999999999</v>
      </c>
      <c r="C180">
        <v>-115.774</v>
      </c>
      <c r="D180">
        <v>-115.774</v>
      </c>
      <c r="E180">
        <v>0.64758199999999999</v>
      </c>
      <c r="F180" t="s">
        <v>140</v>
      </c>
    </row>
    <row r="181" spans="1:6" x14ac:dyDescent="0.25">
      <c r="A181" t="s">
        <v>260</v>
      </c>
      <c r="B181">
        <v>1.3188800000000001</v>
      </c>
      <c r="C181">
        <v>-115.77</v>
      </c>
      <c r="D181">
        <v>-139.82599999999999</v>
      </c>
      <c r="E181">
        <v>0.67646399999999995</v>
      </c>
      <c r="F181" t="s">
        <v>8</v>
      </c>
    </row>
    <row r="182" spans="1:6" x14ac:dyDescent="0.25">
      <c r="A182" t="s">
        <v>261</v>
      </c>
      <c r="B182">
        <v>1.256599</v>
      </c>
      <c r="C182">
        <v>-115.76900000000001</v>
      </c>
      <c r="D182">
        <v>-115.76900000000001</v>
      </c>
      <c r="E182">
        <v>0.64381900000000003</v>
      </c>
      <c r="F182" t="s">
        <v>262</v>
      </c>
    </row>
    <row r="183" spans="1:6" x14ac:dyDescent="0.25">
      <c r="A183" t="s">
        <v>263</v>
      </c>
      <c r="B183" t="s">
        <v>264</v>
      </c>
      <c r="C183">
        <f>-115.768 -111.858</f>
        <v>-227.626</v>
      </c>
      <c r="D183">
        <f>-138.496 -135.21</f>
        <v>-273.70600000000002</v>
      </c>
      <c r="E183" t="s">
        <v>265</v>
      </c>
      <c r="F183" t="s">
        <v>187</v>
      </c>
    </row>
    <row r="184" spans="1:6" x14ac:dyDescent="0.25">
      <c r="A184" t="s">
        <v>266</v>
      </c>
      <c r="B184">
        <v>1.256591</v>
      </c>
      <c r="C184">
        <v>-115.768</v>
      </c>
      <c r="D184">
        <v>-142.80799999999999</v>
      </c>
      <c r="E184">
        <v>0.64437599999999995</v>
      </c>
      <c r="F184" t="s">
        <v>262</v>
      </c>
    </row>
    <row r="185" spans="1:6" x14ac:dyDescent="0.25">
      <c r="A185" t="s">
        <v>267</v>
      </c>
      <c r="B185">
        <v>1.2845390000000001</v>
      </c>
      <c r="C185">
        <v>-115.754</v>
      </c>
      <c r="D185">
        <v>-140.898</v>
      </c>
      <c r="E185">
        <v>0.65901600000000005</v>
      </c>
      <c r="F185" t="s">
        <v>13</v>
      </c>
    </row>
    <row r="186" spans="1:6" x14ac:dyDescent="0.25">
      <c r="A186" t="s">
        <v>268</v>
      </c>
      <c r="B186">
        <v>1.2938620000000001</v>
      </c>
      <c r="C186">
        <v>-115.739</v>
      </c>
      <c r="D186">
        <v>-137.89400000000001</v>
      </c>
      <c r="E186">
        <v>0.66481199999999996</v>
      </c>
      <c r="F186" t="s">
        <v>13</v>
      </c>
    </row>
    <row r="187" spans="1:6" x14ac:dyDescent="0.25">
      <c r="A187" t="s">
        <v>269</v>
      </c>
      <c r="B187">
        <v>1.300019</v>
      </c>
      <c r="C187">
        <v>-115.717</v>
      </c>
      <c r="D187">
        <v>-138.94200000000001</v>
      </c>
      <c r="E187">
        <v>0.66640299999999997</v>
      </c>
      <c r="F187" t="s">
        <v>26</v>
      </c>
    </row>
    <row r="188" spans="1:6" x14ac:dyDescent="0.25">
      <c r="A188" t="s">
        <v>270</v>
      </c>
      <c r="B188" t="s">
        <v>271</v>
      </c>
      <c r="C188">
        <f>-115.7 -118.791</f>
        <v>-234.49099999999999</v>
      </c>
      <c r="D188">
        <f>-139.554 -141.788</f>
        <v>-281.34199999999998</v>
      </c>
      <c r="E188" t="s">
        <v>272</v>
      </c>
      <c r="F188" t="s">
        <v>87</v>
      </c>
    </row>
    <row r="189" spans="1:6" x14ac:dyDescent="0.25">
      <c r="A189" t="s">
        <v>273</v>
      </c>
      <c r="B189">
        <v>1.26387</v>
      </c>
      <c r="C189">
        <v>-115.69</v>
      </c>
      <c r="D189">
        <v>-140.571</v>
      </c>
      <c r="E189">
        <v>0.64704200000000001</v>
      </c>
      <c r="F189" t="s">
        <v>22</v>
      </c>
    </row>
    <row r="190" spans="1:6" x14ac:dyDescent="0.25">
      <c r="A190" t="s">
        <v>274</v>
      </c>
      <c r="B190">
        <v>1.291652</v>
      </c>
      <c r="C190">
        <v>-115.684</v>
      </c>
      <c r="D190">
        <v>-138.071</v>
      </c>
      <c r="E190">
        <v>0.66073899999999997</v>
      </c>
      <c r="F190" t="s">
        <v>13</v>
      </c>
    </row>
    <row r="191" spans="1:6" x14ac:dyDescent="0.25">
      <c r="A191" t="s">
        <v>275</v>
      </c>
      <c r="B191" t="s">
        <v>276</v>
      </c>
      <c r="C191">
        <f>-115.683 -107.274</f>
        <v>-222.95699999999999</v>
      </c>
      <c r="D191">
        <f>-139.824 -130.063</f>
        <v>-269.887</v>
      </c>
      <c r="E191" t="s">
        <v>277</v>
      </c>
      <c r="F191" t="s">
        <v>37</v>
      </c>
    </row>
    <row r="192" spans="1:6" x14ac:dyDescent="0.25">
      <c r="A192" t="s">
        <v>278</v>
      </c>
      <c r="B192">
        <v>1.346209</v>
      </c>
      <c r="C192">
        <v>-115.68300000000001</v>
      </c>
      <c r="D192">
        <v>-137.60599999999999</v>
      </c>
      <c r="E192">
        <v>0.68918800000000002</v>
      </c>
      <c r="F192" t="s">
        <v>11</v>
      </c>
    </row>
    <row r="193" spans="1:6" x14ac:dyDescent="0.25">
      <c r="A193" t="s">
        <v>279</v>
      </c>
      <c r="B193">
        <v>1.2750539999999999</v>
      </c>
      <c r="C193">
        <v>-115.675</v>
      </c>
      <c r="D193">
        <v>-139.83099999999999</v>
      </c>
      <c r="E193">
        <v>0.65445799999999998</v>
      </c>
      <c r="F193" t="s">
        <v>13</v>
      </c>
    </row>
    <row r="194" spans="1:6" x14ac:dyDescent="0.25">
      <c r="A194" t="s">
        <v>280</v>
      </c>
      <c r="B194">
        <v>1.303153</v>
      </c>
      <c r="C194">
        <v>-115.65900000000001</v>
      </c>
      <c r="D194">
        <v>-137.45699999999999</v>
      </c>
      <c r="E194">
        <v>0.66947900000000005</v>
      </c>
      <c r="F194" t="s">
        <v>16</v>
      </c>
    </row>
    <row r="195" spans="1:6" x14ac:dyDescent="0.25">
      <c r="A195" t="s">
        <v>281</v>
      </c>
      <c r="B195" t="s">
        <v>282</v>
      </c>
      <c r="C195">
        <f>-115.658 -112.302</f>
        <v>-227.96</v>
      </c>
      <c r="D195">
        <f>-138.21 -136.333</f>
        <v>-274.54300000000001</v>
      </c>
      <c r="E195" t="s">
        <v>283</v>
      </c>
      <c r="F195" t="s">
        <v>87</v>
      </c>
    </row>
    <row r="196" spans="1:6" x14ac:dyDescent="0.25">
      <c r="A196" t="s">
        <v>284</v>
      </c>
      <c r="B196">
        <v>1.27444</v>
      </c>
      <c r="C196">
        <v>-115.639</v>
      </c>
      <c r="D196">
        <v>-138.39699999999999</v>
      </c>
      <c r="E196">
        <v>0.65468199999999999</v>
      </c>
      <c r="F196" t="s">
        <v>26</v>
      </c>
    </row>
    <row r="197" spans="1:6" x14ac:dyDescent="0.25">
      <c r="A197" t="s">
        <v>285</v>
      </c>
      <c r="B197">
        <v>1.2716209999999999</v>
      </c>
      <c r="C197">
        <v>-115.619</v>
      </c>
      <c r="D197">
        <v>-141.93899999999999</v>
      </c>
      <c r="E197">
        <v>0.65194200000000002</v>
      </c>
      <c r="F197" t="s">
        <v>8</v>
      </c>
    </row>
    <row r="198" spans="1:6" x14ac:dyDescent="0.25">
      <c r="A198" t="s">
        <v>286</v>
      </c>
      <c r="B198">
        <v>1.2526759999999999</v>
      </c>
      <c r="C198">
        <v>-115.607</v>
      </c>
      <c r="D198">
        <v>-115.607</v>
      </c>
      <c r="E198">
        <v>0.64240399999999998</v>
      </c>
      <c r="F198" t="s">
        <v>24</v>
      </c>
    </row>
    <row r="199" spans="1:6" x14ac:dyDescent="0.25">
      <c r="A199" t="s">
        <v>287</v>
      </c>
      <c r="B199">
        <v>1.3057799999999999</v>
      </c>
      <c r="C199">
        <v>-115.593</v>
      </c>
      <c r="D199">
        <v>-138.845</v>
      </c>
      <c r="E199">
        <v>0.66993999999999998</v>
      </c>
      <c r="F199" t="s">
        <v>24</v>
      </c>
    </row>
    <row r="200" spans="1:6" x14ac:dyDescent="0.25">
      <c r="A200" t="s">
        <v>288</v>
      </c>
      <c r="B200">
        <v>1.292343</v>
      </c>
      <c r="C200">
        <v>-115.569</v>
      </c>
      <c r="D200">
        <v>-138.56700000000001</v>
      </c>
      <c r="E200">
        <v>0.66166599999999998</v>
      </c>
      <c r="F200" t="s">
        <v>13</v>
      </c>
    </row>
    <row r="201" spans="1:6" x14ac:dyDescent="0.25">
      <c r="A201" t="s">
        <v>289</v>
      </c>
      <c r="B201">
        <v>1.2874589999999999</v>
      </c>
      <c r="C201">
        <v>-115.542</v>
      </c>
      <c r="D201">
        <v>-138.60400000000001</v>
      </c>
      <c r="E201">
        <v>0.65897499999999998</v>
      </c>
      <c r="F201" t="s">
        <v>11</v>
      </c>
    </row>
    <row r="202" spans="1:6" x14ac:dyDescent="0.25">
      <c r="A202" t="s">
        <v>290</v>
      </c>
      <c r="B202">
        <v>1.2824869999999999</v>
      </c>
      <c r="C202">
        <v>-115.53700000000001</v>
      </c>
      <c r="D202">
        <v>-138.702</v>
      </c>
      <c r="E202">
        <v>0.65672699999999995</v>
      </c>
      <c r="F202" t="s">
        <v>11</v>
      </c>
    </row>
    <row r="203" spans="1:6" x14ac:dyDescent="0.25">
      <c r="A203" t="s">
        <v>291</v>
      </c>
      <c r="B203">
        <v>1.3068280000000001</v>
      </c>
      <c r="C203">
        <v>-115.411</v>
      </c>
      <c r="D203">
        <v>-137.87100000000001</v>
      </c>
      <c r="E203">
        <v>0.67088099999999995</v>
      </c>
      <c r="F203" t="s">
        <v>26</v>
      </c>
    </row>
    <row r="204" spans="1:6" x14ac:dyDescent="0.25">
      <c r="A204" t="s">
        <v>292</v>
      </c>
      <c r="B204">
        <v>1.263746</v>
      </c>
      <c r="C204">
        <v>-115.39</v>
      </c>
      <c r="D204">
        <v>-138.10400000000001</v>
      </c>
      <c r="E204">
        <v>0.64402000000000004</v>
      </c>
      <c r="F204" t="s">
        <v>211</v>
      </c>
    </row>
    <row r="205" spans="1:6" x14ac:dyDescent="0.25">
      <c r="A205" t="s">
        <v>293</v>
      </c>
      <c r="B205">
        <v>1.289296</v>
      </c>
      <c r="C205">
        <v>-115.35299999999999</v>
      </c>
      <c r="D205">
        <v>-136.239</v>
      </c>
      <c r="E205">
        <v>0.66256300000000001</v>
      </c>
      <c r="F205" t="s">
        <v>16</v>
      </c>
    </row>
    <row r="206" spans="1:6" x14ac:dyDescent="0.25">
      <c r="A206" t="s">
        <v>294</v>
      </c>
      <c r="B206">
        <v>1.2785089999999999</v>
      </c>
      <c r="C206">
        <v>-115.327</v>
      </c>
      <c r="D206">
        <v>-139.18700000000001</v>
      </c>
      <c r="E206">
        <v>0.65458099999999997</v>
      </c>
      <c r="F206" t="s">
        <v>24</v>
      </c>
    </row>
    <row r="207" spans="1:6" x14ac:dyDescent="0.25">
      <c r="A207" t="s">
        <v>295</v>
      </c>
      <c r="B207">
        <v>1.289499</v>
      </c>
      <c r="C207">
        <v>-115.322</v>
      </c>
      <c r="D207">
        <v>-140.16300000000001</v>
      </c>
      <c r="E207">
        <v>0.66209600000000002</v>
      </c>
      <c r="F207" t="s">
        <v>8</v>
      </c>
    </row>
    <row r="208" spans="1:6" x14ac:dyDescent="0.25">
      <c r="A208" t="s">
        <v>296</v>
      </c>
      <c r="B208">
        <v>1.2866569999999999</v>
      </c>
      <c r="C208">
        <v>-115.318</v>
      </c>
      <c r="D208">
        <v>-137.43199999999999</v>
      </c>
      <c r="E208">
        <v>0.66035500000000003</v>
      </c>
      <c r="F208" t="s">
        <v>26</v>
      </c>
    </row>
    <row r="209" spans="1:6" x14ac:dyDescent="0.25">
      <c r="A209" t="s">
        <v>297</v>
      </c>
      <c r="B209">
        <v>1.3228610000000001</v>
      </c>
      <c r="C209">
        <v>-115.31</v>
      </c>
      <c r="D209">
        <v>-138.24199999999999</v>
      </c>
      <c r="E209">
        <v>0.67933200000000005</v>
      </c>
      <c r="F209" t="s">
        <v>24</v>
      </c>
    </row>
    <row r="210" spans="1:6" x14ac:dyDescent="0.25">
      <c r="A210" t="s">
        <v>298</v>
      </c>
      <c r="B210">
        <v>1.3124260000000001</v>
      </c>
      <c r="C210">
        <v>-115.303</v>
      </c>
      <c r="D210">
        <v>-139.66</v>
      </c>
      <c r="E210">
        <v>0.67281899999999994</v>
      </c>
      <c r="F210" t="s">
        <v>57</v>
      </c>
    </row>
    <row r="211" spans="1:6" x14ac:dyDescent="0.25">
      <c r="A211" t="s">
        <v>299</v>
      </c>
      <c r="B211">
        <v>1.2528360000000001</v>
      </c>
      <c r="C211">
        <v>-115.29600000000001</v>
      </c>
      <c r="D211">
        <v>-138.30799999999999</v>
      </c>
      <c r="E211">
        <v>0.64339900000000005</v>
      </c>
      <c r="F211" t="s">
        <v>13</v>
      </c>
    </row>
    <row r="212" spans="1:6" x14ac:dyDescent="0.25">
      <c r="A212" t="s">
        <v>300</v>
      </c>
      <c r="B212">
        <v>1.2949850000000001</v>
      </c>
      <c r="C212">
        <v>-115.289</v>
      </c>
      <c r="D212">
        <v>-137.57400000000001</v>
      </c>
      <c r="E212">
        <v>0.66358700000000004</v>
      </c>
      <c r="F212" t="s">
        <v>57</v>
      </c>
    </row>
    <row r="213" spans="1:6" x14ac:dyDescent="0.25">
      <c r="A213" t="s">
        <v>301</v>
      </c>
      <c r="B213">
        <v>1.3142959999999999</v>
      </c>
      <c r="C213">
        <v>-115.285</v>
      </c>
      <c r="D213">
        <v>-140.09299999999999</v>
      </c>
      <c r="E213">
        <v>0.67588099999999995</v>
      </c>
      <c r="F213" t="s">
        <v>246</v>
      </c>
    </row>
    <row r="214" spans="1:6" x14ac:dyDescent="0.25">
      <c r="A214" t="s">
        <v>302</v>
      </c>
      <c r="B214">
        <v>1.2857769999999999</v>
      </c>
      <c r="C214">
        <v>-115.264</v>
      </c>
      <c r="D214">
        <v>-140.44499999999999</v>
      </c>
      <c r="E214">
        <v>0.659551</v>
      </c>
      <c r="F214" t="s">
        <v>13</v>
      </c>
    </row>
    <row r="215" spans="1:6" x14ac:dyDescent="0.25">
      <c r="A215" t="s">
        <v>303</v>
      </c>
      <c r="B215" t="s">
        <v>304</v>
      </c>
      <c r="C215">
        <f>-115.259 -113.917</f>
        <v>-229.17599999999999</v>
      </c>
      <c r="D215">
        <f>-138.063 -137.385</f>
        <v>-275.44799999999998</v>
      </c>
      <c r="E215" t="s">
        <v>305</v>
      </c>
      <c r="F215" t="s">
        <v>87</v>
      </c>
    </row>
    <row r="216" spans="1:6" x14ac:dyDescent="0.25">
      <c r="A216" t="s">
        <v>306</v>
      </c>
      <c r="B216">
        <v>1.2740590000000001</v>
      </c>
      <c r="C216">
        <v>-115.244</v>
      </c>
      <c r="D216">
        <v>-139.27500000000001</v>
      </c>
      <c r="E216">
        <v>0.65413500000000002</v>
      </c>
      <c r="F216" t="s">
        <v>8</v>
      </c>
    </row>
    <row r="217" spans="1:6" x14ac:dyDescent="0.25">
      <c r="A217" t="s">
        <v>307</v>
      </c>
      <c r="B217" t="s">
        <v>308</v>
      </c>
      <c r="C217">
        <f>-115.236 -116.128</f>
        <v>-231.364</v>
      </c>
      <c r="D217">
        <f>-138.213 -139.97</f>
        <v>-278.18299999999999</v>
      </c>
      <c r="E217" t="s">
        <v>309</v>
      </c>
      <c r="F217" t="s">
        <v>37</v>
      </c>
    </row>
    <row r="218" spans="1:6" x14ac:dyDescent="0.25">
      <c r="A218" t="s">
        <v>310</v>
      </c>
      <c r="B218" t="s">
        <v>311</v>
      </c>
      <c r="C218">
        <f>-115.193 -107.986</f>
        <v>-223.179</v>
      </c>
      <c r="D218">
        <f>-139.36 -131.416</f>
        <v>-270.77600000000001</v>
      </c>
      <c r="E218" t="s">
        <v>312</v>
      </c>
      <c r="F218" t="s">
        <v>187</v>
      </c>
    </row>
    <row r="219" spans="1:6" x14ac:dyDescent="0.25">
      <c r="A219" t="s">
        <v>313</v>
      </c>
      <c r="B219">
        <v>1.3086279999999999</v>
      </c>
      <c r="C219">
        <v>-115.176</v>
      </c>
      <c r="D219">
        <v>-138.398</v>
      </c>
      <c r="E219">
        <v>0.67136799999999996</v>
      </c>
      <c r="F219" t="s">
        <v>13</v>
      </c>
    </row>
    <row r="220" spans="1:6" x14ac:dyDescent="0.25">
      <c r="A220" t="s">
        <v>314</v>
      </c>
      <c r="B220">
        <v>1.237571</v>
      </c>
      <c r="C220">
        <v>-115.16500000000001</v>
      </c>
      <c r="D220">
        <v>-139.06</v>
      </c>
      <c r="E220">
        <v>0.63575000000000004</v>
      </c>
      <c r="F220" t="s">
        <v>13</v>
      </c>
    </row>
    <row r="221" spans="1:6" x14ac:dyDescent="0.25">
      <c r="A221" t="s">
        <v>315</v>
      </c>
      <c r="B221">
        <v>1.3119419999999999</v>
      </c>
      <c r="C221">
        <v>-115.158</v>
      </c>
      <c r="D221">
        <v>-139.11799999999999</v>
      </c>
      <c r="E221">
        <v>0.67468700000000004</v>
      </c>
      <c r="F221" t="s">
        <v>11</v>
      </c>
    </row>
    <row r="222" spans="1:6" x14ac:dyDescent="0.25">
      <c r="A222" t="s">
        <v>316</v>
      </c>
      <c r="B222">
        <v>1.2683279999999999</v>
      </c>
      <c r="C222">
        <v>-115.14100000000001</v>
      </c>
      <c r="D222">
        <v>-138.96600000000001</v>
      </c>
      <c r="E222">
        <v>0.65063099999999996</v>
      </c>
      <c r="F222" t="s">
        <v>22</v>
      </c>
    </row>
    <row r="223" spans="1:6" x14ac:dyDescent="0.25">
      <c r="A223" t="s">
        <v>317</v>
      </c>
      <c r="B223">
        <v>1.299768</v>
      </c>
      <c r="C223">
        <v>-115.101</v>
      </c>
      <c r="D223">
        <v>-138.059</v>
      </c>
      <c r="E223">
        <v>0.66598000000000002</v>
      </c>
      <c r="F223" t="s">
        <v>57</v>
      </c>
    </row>
    <row r="224" spans="1:6" x14ac:dyDescent="0.25">
      <c r="A224" t="s">
        <v>318</v>
      </c>
      <c r="B224">
        <v>1.252318</v>
      </c>
      <c r="C224">
        <v>-115.09099999999999</v>
      </c>
      <c r="D224">
        <v>-141.74100000000001</v>
      </c>
      <c r="E224">
        <v>0.64166299999999998</v>
      </c>
      <c r="F224" t="s">
        <v>22</v>
      </c>
    </row>
    <row r="225" spans="1:6" x14ac:dyDescent="0.25">
      <c r="A225" t="s">
        <v>319</v>
      </c>
      <c r="B225">
        <v>1.291585</v>
      </c>
      <c r="C225">
        <v>-115.045</v>
      </c>
      <c r="D225">
        <v>-138.958</v>
      </c>
      <c r="E225">
        <v>0.66161700000000001</v>
      </c>
      <c r="F225" t="s">
        <v>13</v>
      </c>
    </row>
    <row r="226" spans="1:6" x14ac:dyDescent="0.25">
      <c r="A226" t="s">
        <v>320</v>
      </c>
      <c r="B226">
        <v>1.26973</v>
      </c>
      <c r="C226">
        <v>-115.018</v>
      </c>
      <c r="D226">
        <v>-115.018</v>
      </c>
      <c r="E226">
        <v>0.64998400000000001</v>
      </c>
      <c r="F226" t="s">
        <v>24</v>
      </c>
    </row>
    <row r="227" spans="1:6" x14ac:dyDescent="0.25">
      <c r="A227" t="s">
        <v>321</v>
      </c>
      <c r="B227">
        <v>1.2715190000000001</v>
      </c>
      <c r="C227">
        <v>-114.996</v>
      </c>
      <c r="D227">
        <v>-114.996</v>
      </c>
      <c r="E227">
        <v>0.65328399999999998</v>
      </c>
      <c r="F227" t="s">
        <v>24</v>
      </c>
    </row>
    <row r="228" spans="1:6" x14ac:dyDescent="0.25">
      <c r="A228" t="s">
        <v>322</v>
      </c>
      <c r="B228">
        <v>1.2887519999999999</v>
      </c>
      <c r="C228">
        <v>-114.995</v>
      </c>
      <c r="D228">
        <v>-138.37100000000001</v>
      </c>
      <c r="E228">
        <v>0.66169299999999998</v>
      </c>
      <c r="F228" t="s">
        <v>26</v>
      </c>
    </row>
    <row r="229" spans="1:6" x14ac:dyDescent="0.25">
      <c r="A229" t="s">
        <v>323</v>
      </c>
      <c r="B229">
        <v>1.2605789999999999</v>
      </c>
      <c r="C229">
        <v>-114.988</v>
      </c>
      <c r="D229">
        <v>-114.988</v>
      </c>
      <c r="E229">
        <v>0.64500000000000002</v>
      </c>
      <c r="F229" t="s">
        <v>24</v>
      </c>
    </row>
    <row r="230" spans="1:6" x14ac:dyDescent="0.25">
      <c r="A230" t="s">
        <v>324</v>
      </c>
      <c r="B230">
        <v>1.2871779999999999</v>
      </c>
      <c r="C230">
        <v>-114.988</v>
      </c>
      <c r="D230">
        <v>-139.65100000000001</v>
      </c>
      <c r="E230">
        <v>0.65861499999999995</v>
      </c>
      <c r="F230" t="s">
        <v>49</v>
      </c>
    </row>
    <row r="231" spans="1:6" x14ac:dyDescent="0.25">
      <c r="A231" t="s">
        <v>325</v>
      </c>
      <c r="B231">
        <v>1.2269000000000001</v>
      </c>
      <c r="C231">
        <v>-114.986</v>
      </c>
      <c r="D231">
        <v>-114.986</v>
      </c>
      <c r="E231">
        <v>0.62575499999999995</v>
      </c>
      <c r="F231" t="s">
        <v>57</v>
      </c>
    </row>
    <row r="232" spans="1:6" x14ac:dyDescent="0.25">
      <c r="A232" t="s">
        <v>326</v>
      </c>
      <c r="B232">
        <v>1.288689</v>
      </c>
      <c r="C232">
        <v>-114.93</v>
      </c>
      <c r="D232">
        <v>-138.667</v>
      </c>
      <c r="E232">
        <v>0.66063000000000005</v>
      </c>
      <c r="F232" t="s">
        <v>22</v>
      </c>
    </row>
    <row r="233" spans="1:6" x14ac:dyDescent="0.25">
      <c r="A233" t="s">
        <v>327</v>
      </c>
      <c r="B233">
        <v>1.2839750000000001</v>
      </c>
      <c r="C233">
        <v>-114.925</v>
      </c>
      <c r="D233">
        <v>-139.39400000000001</v>
      </c>
      <c r="E233">
        <v>0.65821200000000002</v>
      </c>
      <c r="F233" t="s">
        <v>140</v>
      </c>
    </row>
    <row r="234" spans="1:6" x14ac:dyDescent="0.25">
      <c r="A234" t="s">
        <v>328</v>
      </c>
      <c r="B234" t="s">
        <v>329</v>
      </c>
      <c r="C234">
        <f>-114.921 -115.948</f>
        <v>-230.869</v>
      </c>
      <c r="D234">
        <f>-138.342 -139.351</f>
        <v>-277.69299999999998</v>
      </c>
      <c r="E234" t="s">
        <v>330</v>
      </c>
      <c r="F234" t="s">
        <v>87</v>
      </c>
    </row>
    <row r="235" spans="1:6" x14ac:dyDescent="0.25">
      <c r="A235" t="s">
        <v>331</v>
      </c>
      <c r="B235">
        <v>1.286994</v>
      </c>
      <c r="C235">
        <v>-114.90300000000001</v>
      </c>
      <c r="D235">
        <v>-137.87799999999999</v>
      </c>
      <c r="E235">
        <v>0.66145500000000002</v>
      </c>
      <c r="F235" t="s">
        <v>16</v>
      </c>
    </row>
    <row r="236" spans="1:6" x14ac:dyDescent="0.25">
      <c r="A236" t="s">
        <v>332</v>
      </c>
      <c r="B236">
        <v>1.267547</v>
      </c>
      <c r="C236">
        <v>-114.902</v>
      </c>
      <c r="D236">
        <v>-139.072</v>
      </c>
      <c r="E236">
        <v>0.64728399999999997</v>
      </c>
      <c r="F236" t="s">
        <v>24</v>
      </c>
    </row>
    <row r="237" spans="1:6" x14ac:dyDescent="0.25">
      <c r="A237" t="s">
        <v>333</v>
      </c>
      <c r="B237">
        <v>1.2641770000000001</v>
      </c>
      <c r="C237">
        <v>-114.85</v>
      </c>
      <c r="D237">
        <v>-139.22999999999999</v>
      </c>
      <c r="E237">
        <v>0.64820199999999994</v>
      </c>
      <c r="F237" t="s">
        <v>19</v>
      </c>
    </row>
    <row r="238" spans="1:6" x14ac:dyDescent="0.25">
      <c r="A238" t="s">
        <v>334</v>
      </c>
      <c r="B238">
        <v>1.2812790000000001</v>
      </c>
      <c r="C238">
        <v>-114.83</v>
      </c>
      <c r="D238">
        <v>-138.05199999999999</v>
      </c>
      <c r="E238">
        <v>0.65816200000000002</v>
      </c>
      <c r="F238" t="s">
        <v>13</v>
      </c>
    </row>
    <row r="239" spans="1:6" x14ac:dyDescent="0.25">
      <c r="A239" t="s">
        <v>335</v>
      </c>
      <c r="B239">
        <v>1.2770600000000001</v>
      </c>
      <c r="C239">
        <v>-114.83</v>
      </c>
      <c r="D239">
        <v>-137.66499999999999</v>
      </c>
      <c r="E239">
        <v>0.65376900000000004</v>
      </c>
      <c r="F239" t="s">
        <v>11</v>
      </c>
    </row>
    <row r="240" spans="1:6" x14ac:dyDescent="0.25">
      <c r="A240" t="s">
        <v>336</v>
      </c>
      <c r="B240">
        <v>1.2757000000000001</v>
      </c>
      <c r="C240">
        <v>-114.828</v>
      </c>
      <c r="D240">
        <v>-138.61099999999999</v>
      </c>
      <c r="E240">
        <v>0.65453300000000003</v>
      </c>
      <c r="F240" t="s">
        <v>22</v>
      </c>
    </row>
    <row r="241" spans="1:6" x14ac:dyDescent="0.25">
      <c r="A241" t="s">
        <v>337</v>
      </c>
      <c r="B241" t="s">
        <v>338</v>
      </c>
      <c r="C241">
        <f>-114.795 -111.995</f>
        <v>-226.79000000000002</v>
      </c>
      <c r="D241">
        <f>-114.795 -111.995</f>
        <v>-226.79000000000002</v>
      </c>
      <c r="E241" t="s">
        <v>339</v>
      </c>
      <c r="F241" t="s">
        <v>187</v>
      </c>
    </row>
    <row r="242" spans="1:6" x14ac:dyDescent="0.25">
      <c r="A242" t="s">
        <v>340</v>
      </c>
      <c r="B242">
        <v>1.2772269999999999</v>
      </c>
      <c r="C242">
        <v>-114.79</v>
      </c>
      <c r="D242">
        <v>-138.18</v>
      </c>
      <c r="E242">
        <v>0.65307499999999996</v>
      </c>
      <c r="F242" t="s">
        <v>13</v>
      </c>
    </row>
    <row r="243" spans="1:6" x14ac:dyDescent="0.25">
      <c r="A243" t="s">
        <v>341</v>
      </c>
      <c r="B243" t="s">
        <v>342</v>
      </c>
      <c r="C243">
        <f>-114.786 -114.052</f>
        <v>-228.83800000000002</v>
      </c>
      <c r="D243">
        <f>-137.843 -138.015</f>
        <v>-275.85799999999995</v>
      </c>
      <c r="E243" t="s">
        <v>343</v>
      </c>
      <c r="F243" t="s">
        <v>187</v>
      </c>
    </row>
    <row r="244" spans="1:6" x14ac:dyDescent="0.25">
      <c r="A244" t="s">
        <v>344</v>
      </c>
      <c r="B244">
        <v>1.2679020000000001</v>
      </c>
      <c r="C244">
        <v>-114.721</v>
      </c>
      <c r="D244">
        <v>-138.65199999999999</v>
      </c>
      <c r="E244">
        <v>0.65025200000000005</v>
      </c>
      <c r="F244" t="s">
        <v>22</v>
      </c>
    </row>
    <row r="245" spans="1:6" x14ac:dyDescent="0.25">
      <c r="A245" t="s">
        <v>345</v>
      </c>
      <c r="B245">
        <v>1.2447280000000001</v>
      </c>
      <c r="C245">
        <v>-114.708</v>
      </c>
      <c r="D245">
        <v>-114.708</v>
      </c>
      <c r="E245">
        <v>0.638768</v>
      </c>
      <c r="F245" t="s">
        <v>144</v>
      </c>
    </row>
    <row r="246" spans="1:6" x14ac:dyDescent="0.25">
      <c r="A246" t="s">
        <v>346</v>
      </c>
      <c r="B246">
        <v>1.273593</v>
      </c>
      <c r="C246">
        <v>-114.664</v>
      </c>
      <c r="D246">
        <v>-138.50700000000001</v>
      </c>
      <c r="E246">
        <v>0.65274200000000004</v>
      </c>
      <c r="F246" t="s">
        <v>13</v>
      </c>
    </row>
    <row r="247" spans="1:6" x14ac:dyDescent="0.25">
      <c r="A247" t="s">
        <v>347</v>
      </c>
      <c r="B247">
        <v>1.320738</v>
      </c>
      <c r="C247">
        <v>-114.654</v>
      </c>
      <c r="D247">
        <v>-114.654</v>
      </c>
      <c r="E247">
        <v>0.67925000000000002</v>
      </c>
      <c r="F247" t="s">
        <v>194</v>
      </c>
    </row>
    <row r="248" spans="1:6" x14ac:dyDescent="0.25">
      <c r="A248" t="s">
        <v>348</v>
      </c>
      <c r="B248">
        <v>1.251452</v>
      </c>
      <c r="C248">
        <v>-114.64</v>
      </c>
      <c r="D248">
        <v>-137.56200000000001</v>
      </c>
      <c r="E248">
        <v>0.64279399999999998</v>
      </c>
      <c r="F248" t="s">
        <v>140</v>
      </c>
    </row>
    <row r="249" spans="1:6" x14ac:dyDescent="0.25">
      <c r="A249" t="s">
        <v>349</v>
      </c>
      <c r="B249">
        <v>1.2921020000000001</v>
      </c>
      <c r="C249">
        <v>-114.596</v>
      </c>
      <c r="D249">
        <v>-138.68799999999999</v>
      </c>
      <c r="E249">
        <v>0.66287399999999996</v>
      </c>
      <c r="F249" t="s">
        <v>13</v>
      </c>
    </row>
    <row r="250" spans="1:6" x14ac:dyDescent="0.25">
      <c r="A250" t="s">
        <v>350</v>
      </c>
      <c r="B250">
        <v>1.267787</v>
      </c>
      <c r="C250">
        <v>-114.583</v>
      </c>
      <c r="D250">
        <v>-138.27199999999999</v>
      </c>
      <c r="E250">
        <v>0.64966400000000002</v>
      </c>
      <c r="F250" t="s">
        <v>201</v>
      </c>
    </row>
    <row r="251" spans="1:6" x14ac:dyDescent="0.25">
      <c r="A251" t="s">
        <v>351</v>
      </c>
      <c r="B251">
        <v>1.2468319999999999</v>
      </c>
      <c r="C251">
        <v>-114.57</v>
      </c>
      <c r="D251">
        <v>-138.31800000000001</v>
      </c>
      <c r="E251">
        <v>0.64063199999999998</v>
      </c>
      <c r="F251" t="s">
        <v>194</v>
      </c>
    </row>
    <row r="252" spans="1:6" x14ac:dyDescent="0.25">
      <c r="A252" t="s">
        <v>352</v>
      </c>
      <c r="B252">
        <v>1.277698</v>
      </c>
      <c r="C252">
        <v>-114.566</v>
      </c>
      <c r="D252">
        <v>-138.16900000000001</v>
      </c>
      <c r="E252">
        <v>0.65402800000000005</v>
      </c>
      <c r="F252" t="s">
        <v>11</v>
      </c>
    </row>
    <row r="253" spans="1:6" x14ac:dyDescent="0.25">
      <c r="A253" t="s">
        <v>353</v>
      </c>
      <c r="B253">
        <v>1.2558320000000001</v>
      </c>
      <c r="C253">
        <v>-114.554</v>
      </c>
      <c r="D253">
        <v>-138.51300000000001</v>
      </c>
      <c r="E253">
        <v>0.64056000000000002</v>
      </c>
      <c r="F253" t="s">
        <v>24</v>
      </c>
    </row>
    <row r="254" spans="1:6" x14ac:dyDescent="0.25">
      <c r="A254" t="s">
        <v>354</v>
      </c>
      <c r="B254" t="s">
        <v>355</v>
      </c>
      <c r="C254">
        <f>-114.512 -109.712</f>
        <v>-224.22399999999999</v>
      </c>
      <c r="D254">
        <f>-139.489 -134.132</f>
        <v>-273.62099999999998</v>
      </c>
      <c r="E254" t="s">
        <v>356</v>
      </c>
      <c r="F254" t="s">
        <v>87</v>
      </c>
    </row>
    <row r="255" spans="1:6" x14ac:dyDescent="0.25">
      <c r="A255" t="s">
        <v>357</v>
      </c>
      <c r="B255">
        <v>1.240815</v>
      </c>
      <c r="C255">
        <v>-114.511</v>
      </c>
      <c r="D255">
        <v>-137.315</v>
      </c>
      <c r="E255">
        <v>0.63502199999999998</v>
      </c>
      <c r="F255" t="s">
        <v>11</v>
      </c>
    </row>
    <row r="256" spans="1:6" x14ac:dyDescent="0.25">
      <c r="A256" t="s">
        <v>358</v>
      </c>
      <c r="B256">
        <v>1.2819910000000001</v>
      </c>
      <c r="C256">
        <v>-114.504</v>
      </c>
      <c r="D256">
        <v>-138.91200000000001</v>
      </c>
      <c r="E256">
        <v>0.65541799999999995</v>
      </c>
      <c r="F256" t="s">
        <v>194</v>
      </c>
    </row>
    <row r="257" spans="1:6" x14ac:dyDescent="0.25">
      <c r="A257" t="s">
        <v>359</v>
      </c>
      <c r="B257">
        <v>1.302287</v>
      </c>
      <c r="C257">
        <v>-114.483</v>
      </c>
      <c r="D257">
        <v>-137.85400000000001</v>
      </c>
      <c r="E257">
        <v>0.66839700000000002</v>
      </c>
      <c r="F257" t="s">
        <v>11</v>
      </c>
    </row>
    <row r="258" spans="1:6" x14ac:dyDescent="0.25">
      <c r="A258" t="s">
        <v>360</v>
      </c>
      <c r="B258">
        <v>1.2964690000000001</v>
      </c>
      <c r="C258">
        <v>-114.461</v>
      </c>
      <c r="D258">
        <v>-137.39099999999999</v>
      </c>
      <c r="E258">
        <v>0.66633100000000001</v>
      </c>
      <c r="F258" t="s">
        <v>13</v>
      </c>
    </row>
    <row r="259" spans="1:6" x14ac:dyDescent="0.25">
      <c r="A259" t="s">
        <v>361</v>
      </c>
      <c r="B259">
        <v>1.2907679999999999</v>
      </c>
      <c r="C259">
        <v>-114.44199999999999</v>
      </c>
      <c r="D259">
        <v>-138.083</v>
      </c>
      <c r="E259">
        <v>0.662219</v>
      </c>
      <c r="F259" t="s">
        <v>24</v>
      </c>
    </row>
    <row r="260" spans="1:6" x14ac:dyDescent="0.25">
      <c r="A260" t="s">
        <v>362</v>
      </c>
      <c r="B260">
        <v>1.257182</v>
      </c>
      <c r="C260">
        <v>-114.426</v>
      </c>
      <c r="D260">
        <v>-139.29599999999999</v>
      </c>
      <c r="E260">
        <v>0.64824400000000004</v>
      </c>
      <c r="F260" t="s">
        <v>19</v>
      </c>
    </row>
    <row r="261" spans="1:6" x14ac:dyDescent="0.25">
      <c r="A261" t="s">
        <v>363</v>
      </c>
      <c r="B261">
        <v>1.233992</v>
      </c>
      <c r="C261">
        <v>-114.416</v>
      </c>
      <c r="D261">
        <v>-139.02099999999999</v>
      </c>
      <c r="E261">
        <v>0.63281600000000005</v>
      </c>
      <c r="F261" t="s">
        <v>22</v>
      </c>
    </row>
    <row r="262" spans="1:6" x14ac:dyDescent="0.25">
      <c r="A262" t="s">
        <v>364</v>
      </c>
      <c r="B262">
        <v>1.285647</v>
      </c>
      <c r="C262">
        <v>-114.413</v>
      </c>
      <c r="D262">
        <v>-138.46899999999999</v>
      </c>
      <c r="E262">
        <v>0.66186800000000001</v>
      </c>
      <c r="F262" t="s">
        <v>19</v>
      </c>
    </row>
    <row r="263" spans="1:6" x14ac:dyDescent="0.25">
      <c r="A263" t="s">
        <v>365</v>
      </c>
      <c r="B263">
        <v>1.2532449999999999</v>
      </c>
      <c r="C263">
        <v>-114.36499999999999</v>
      </c>
      <c r="D263">
        <v>-138.727</v>
      </c>
      <c r="E263">
        <v>0.64263800000000004</v>
      </c>
      <c r="F263" t="s">
        <v>13</v>
      </c>
    </row>
    <row r="264" spans="1:6" x14ac:dyDescent="0.25">
      <c r="A264" t="s">
        <v>366</v>
      </c>
      <c r="B264" t="s">
        <v>367</v>
      </c>
      <c r="C264">
        <f>-114.363 -107.531</f>
        <v>-221.89400000000001</v>
      </c>
      <c r="D264">
        <f>-138.782 -107.531</f>
        <v>-246.31300000000002</v>
      </c>
      <c r="E264" t="s">
        <v>368</v>
      </c>
      <c r="F264" t="s">
        <v>369</v>
      </c>
    </row>
    <row r="265" spans="1:6" x14ac:dyDescent="0.25">
      <c r="A265" t="s">
        <v>370</v>
      </c>
      <c r="B265">
        <v>1.300033</v>
      </c>
      <c r="C265">
        <v>-114.36199999999999</v>
      </c>
      <c r="D265">
        <v>-136.11600000000001</v>
      </c>
      <c r="E265">
        <v>0.66823500000000002</v>
      </c>
      <c r="F265" t="s">
        <v>26</v>
      </c>
    </row>
    <row r="266" spans="1:6" x14ac:dyDescent="0.25">
      <c r="A266" t="s">
        <v>371</v>
      </c>
      <c r="B266" t="s">
        <v>372</v>
      </c>
      <c r="C266">
        <f>-114.356 -107.752</f>
        <v>-222.108</v>
      </c>
      <c r="D266">
        <f>-114.356 -132.392</f>
        <v>-246.74799999999999</v>
      </c>
      <c r="E266" t="s">
        <v>373</v>
      </c>
      <c r="F266" t="s">
        <v>87</v>
      </c>
    </row>
    <row r="267" spans="1:6" x14ac:dyDescent="0.25">
      <c r="A267" t="s">
        <v>374</v>
      </c>
      <c r="B267">
        <v>1.3042450000000001</v>
      </c>
      <c r="C267">
        <v>-114.35599999999999</v>
      </c>
      <c r="D267">
        <v>-138.702</v>
      </c>
      <c r="E267">
        <v>0.67006200000000005</v>
      </c>
      <c r="F267" t="s">
        <v>13</v>
      </c>
    </row>
    <row r="268" spans="1:6" x14ac:dyDescent="0.25">
      <c r="A268" t="s">
        <v>375</v>
      </c>
      <c r="B268">
        <v>1.2493380000000001</v>
      </c>
      <c r="C268">
        <v>-114.306</v>
      </c>
      <c r="D268">
        <v>-138.00200000000001</v>
      </c>
      <c r="E268">
        <v>0.63709499999999997</v>
      </c>
      <c r="F268" t="s">
        <v>49</v>
      </c>
    </row>
    <row r="269" spans="1:6" x14ac:dyDescent="0.25">
      <c r="A269" t="s">
        <v>376</v>
      </c>
      <c r="B269">
        <v>1.302432</v>
      </c>
      <c r="C269">
        <v>-114.3</v>
      </c>
      <c r="D269">
        <v>-137.678</v>
      </c>
      <c r="E269">
        <v>0.66749499999999995</v>
      </c>
      <c r="F269" t="s">
        <v>57</v>
      </c>
    </row>
    <row r="270" spans="1:6" x14ac:dyDescent="0.25">
      <c r="A270" t="s">
        <v>377</v>
      </c>
      <c r="B270">
        <v>1.296635</v>
      </c>
      <c r="C270">
        <v>-114.297</v>
      </c>
      <c r="D270">
        <v>-136.92699999999999</v>
      </c>
      <c r="E270">
        <v>0.66706200000000004</v>
      </c>
      <c r="F270" t="s">
        <v>13</v>
      </c>
    </row>
    <row r="271" spans="1:6" x14ac:dyDescent="0.25">
      <c r="A271" t="s">
        <v>378</v>
      </c>
      <c r="B271">
        <v>1.2803690000000001</v>
      </c>
      <c r="C271">
        <v>-114.295</v>
      </c>
      <c r="D271">
        <v>-137.88200000000001</v>
      </c>
      <c r="E271">
        <v>0.65680400000000005</v>
      </c>
      <c r="F271" t="s">
        <v>13</v>
      </c>
    </row>
    <row r="272" spans="1:6" x14ac:dyDescent="0.25">
      <c r="A272" t="s">
        <v>379</v>
      </c>
      <c r="B272" t="s">
        <v>380</v>
      </c>
      <c r="C272">
        <f>-114.289 -107.434</f>
        <v>-221.72300000000001</v>
      </c>
      <c r="D272">
        <f>-137.627 -107.434</f>
        <v>-245.06100000000001</v>
      </c>
      <c r="E272" t="s">
        <v>381</v>
      </c>
      <c r="F272" t="s">
        <v>382</v>
      </c>
    </row>
    <row r="273" spans="1:6" x14ac:dyDescent="0.25">
      <c r="A273" t="s">
        <v>383</v>
      </c>
      <c r="B273">
        <v>1.308344</v>
      </c>
      <c r="C273">
        <v>-114.289</v>
      </c>
      <c r="D273">
        <v>-137.345</v>
      </c>
      <c r="E273">
        <v>0.66861400000000004</v>
      </c>
      <c r="F273" t="s">
        <v>24</v>
      </c>
    </row>
    <row r="274" spans="1:6" x14ac:dyDescent="0.25">
      <c r="A274" t="s">
        <v>384</v>
      </c>
      <c r="B274">
        <v>1.3033410000000001</v>
      </c>
      <c r="C274">
        <v>-114.289</v>
      </c>
      <c r="D274">
        <v>-136.411</v>
      </c>
      <c r="E274">
        <v>0.66952999999999996</v>
      </c>
      <c r="F274" t="s">
        <v>26</v>
      </c>
    </row>
    <row r="275" spans="1:6" x14ac:dyDescent="0.25">
      <c r="A275" t="s">
        <v>385</v>
      </c>
      <c r="B275">
        <v>1.2484489999999999</v>
      </c>
      <c r="C275">
        <v>-114.255</v>
      </c>
      <c r="D275">
        <v>-140.13200000000001</v>
      </c>
      <c r="E275">
        <v>0.640602</v>
      </c>
      <c r="F275" t="s">
        <v>19</v>
      </c>
    </row>
    <row r="276" spans="1:6" x14ac:dyDescent="0.25">
      <c r="A276" t="s">
        <v>386</v>
      </c>
      <c r="B276">
        <v>1.294303</v>
      </c>
      <c r="C276">
        <v>-114.249</v>
      </c>
      <c r="D276">
        <v>-139.24600000000001</v>
      </c>
      <c r="E276">
        <v>0.66098100000000004</v>
      </c>
      <c r="F276" t="s">
        <v>22</v>
      </c>
    </row>
    <row r="277" spans="1:6" x14ac:dyDescent="0.25">
      <c r="A277" t="s">
        <v>387</v>
      </c>
      <c r="B277" t="s">
        <v>388</v>
      </c>
      <c r="C277">
        <f>-114.237 -111.514</f>
        <v>-225.75099999999998</v>
      </c>
      <c r="D277">
        <f>-138.964 -111.514</f>
        <v>-250.47800000000001</v>
      </c>
      <c r="E277" t="s">
        <v>389</v>
      </c>
      <c r="F277" t="s">
        <v>53</v>
      </c>
    </row>
    <row r="278" spans="1:6" x14ac:dyDescent="0.25">
      <c r="A278" t="s">
        <v>390</v>
      </c>
      <c r="B278">
        <v>1.270046</v>
      </c>
      <c r="C278">
        <v>-114.235</v>
      </c>
      <c r="D278">
        <v>-138.245</v>
      </c>
      <c r="E278">
        <v>0.653084</v>
      </c>
      <c r="F278" t="s">
        <v>140</v>
      </c>
    </row>
    <row r="279" spans="1:6" x14ac:dyDescent="0.25">
      <c r="A279" t="s">
        <v>391</v>
      </c>
      <c r="B279">
        <v>1.3094330000000001</v>
      </c>
      <c r="C279">
        <v>-114.233</v>
      </c>
      <c r="D279">
        <v>-136.96799999999999</v>
      </c>
      <c r="E279">
        <v>0.67341899999999999</v>
      </c>
      <c r="F279" t="s">
        <v>13</v>
      </c>
    </row>
    <row r="280" spans="1:6" x14ac:dyDescent="0.25">
      <c r="A280" t="s">
        <v>392</v>
      </c>
      <c r="B280">
        <v>1.286265</v>
      </c>
      <c r="C280">
        <v>-114.194</v>
      </c>
      <c r="D280">
        <v>-137.66399999999999</v>
      </c>
      <c r="E280">
        <v>0.65829599999999999</v>
      </c>
      <c r="F280" t="s">
        <v>11</v>
      </c>
    </row>
    <row r="281" spans="1:6" x14ac:dyDescent="0.25">
      <c r="A281" t="s">
        <v>393</v>
      </c>
      <c r="B281">
        <v>1.2707729999999999</v>
      </c>
      <c r="C281">
        <v>-114.179</v>
      </c>
      <c r="D281">
        <v>-140.64500000000001</v>
      </c>
      <c r="E281">
        <v>0.65268899999999996</v>
      </c>
      <c r="F281" t="s">
        <v>13</v>
      </c>
    </row>
    <row r="282" spans="1:6" x14ac:dyDescent="0.25">
      <c r="A282" t="s">
        <v>394</v>
      </c>
      <c r="B282" t="s">
        <v>395</v>
      </c>
      <c r="C282">
        <f>-114.17 -121.908</f>
        <v>-236.078</v>
      </c>
      <c r="D282">
        <f>-137.543 -144.685</f>
        <v>-282.22800000000001</v>
      </c>
      <c r="E282" t="s">
        <v>396</v>
      </c>
      <c r="F282" t="s">
        <v>369</v>
      </c>
    </row>
    <row r="283" spans="1:6" x14ac:dyDescent="0.25">
      <c r="A283" t="s">
        <v>397</v>
      </c>
      <c r="B283">
        <v>1.286618</v>
      </c>
      <c r="C283">
        <v>-114.17</v>
      </c>
      <c r="D283">
        <v>-136.51599999999999</v>
      </c>
      <c r="E283">
        <v>0.66097899999999998</v>
      </c>
      <c r="F283" t="s">
        <v>16</v>
      </c>
    </row>
    <row r="284" spans="1:6" x14ac:dyDescent="0.25">
      <c r="A284" t="s">
        <v>398</v>
      </c>
      <c r="B284">
        <v>1.2831840000000001</v>
      </c>
      <c r="C284">
        <v>-114.142</v>
      </c>
      <c r="D284">
        <v>-137.77199999999999</v>
      </c>
      <c r="E284">
        <v>0.65898299999999999</v>
      </c>
      <c r="F284" t="s">
        <v>57</v>
      </c>
    </row>
    <row r="285" spans="1:6" x14ac:dyDescent="0.25">
      <c r="A285" t="s">
        <v>399</v>
      </c>
      <c r="B285">
        <v>1.30199</v>
      </c>
      <c r="C285">
        <v>-114.14</v>
      </c>
      <c r="D285">
        <v>-114.14</v>
      </c>
      <c r="E285">
        <v>0.66404600000000003</v>
      </c>
      <c r="F285" t="s">
        <v>211</v>
      </c>
    </row>
    <row r="286" spans="1:6" x14ac:dyDescent="0.25">
      <c r="A286" t="s">
        <v>400</v>
      </c>
      <c r="B286">
        <v>1.2918750000000001</v>
      </c>
      <c r="C286">
        <v>-114.136</v>
      </c>
      <c r="D286">
        <v>-139.31700000000001</v>
      </c>
      <c r="E286">
        <v>0.66229000000000005</v>
      </c>
      <c r="F286" t="s">
        <v>401</v>
      </c>
    </row>
    <row r="287" spans="1:6" x14ac:dyDescent="0.25">
      <c r="A287" t="s">
        <v>402</v>
      </c>
      <c r="B287">
        <v>1.286473</v>
      </c>
      <c r="C287">
        <v>-114.13500000000001</v>
      </c>
      <c r="D287">
        <v>-137.98099999999999</v>
      </c>
      <c r="E287">
        <v>0.66070499999999999</v>
      </c>
      <c r="F287" t="s">
        <v>57</v>
      </c>
    </row>
    <row r="288" spans="1:6" x14ac:dyDescent="0.25">
      <c r="A288" t="s">
        <v>403</v>
      </c>
      <c r="B288">
        <v>1.2844800000000001</v>
      </c>
      <c r="C288">
        <v>-114.13200000000001</v>
      </c>
      <c r="D288">
        <v>-138.87</v>
      </c>
      <c r="E288">
        <v>0.659493</v>
      </c>
      <c r="F288" t="s">
        <v>24</v>
      </c>
    </row>
    <row r="289" spans="1:6" x14ac:dyDescent="0.25">
      <c r="A289" t="s">
        <v>404</v>
      </c>
      <c r="B289">
        <v>1.3023400000000001</v>
      </c>
      <c r="C289">
        <v>-114.123</v>
      </c>
      <c r="D289">
        <v>-136.887</v>
      </c>
      <c r="E289">
        <v>0.67221600000000004</v>
      </c>
      <c r="F289" t="s">
        <v>405</v>
      </c>
    </row>
    <row r="290" spans="1:6" x14ac:dyDescent="0.25">
      <c r="A290" t="s">
        <v>406</v>
      </c>
      <c r="B290">
        <v>1.2969919999999999</v>
      </c>
      <c r="C290">
        <v>-114.095</v>
      </c>
      <c r="D290">
        <v>-137.56</v>
      </c>
      <c r="E290">
        <v>0.66446400000000005</v>
      </c>
      <c r="F290" t="s">
        <v>57</v>
      </c>
    </row>
    <row r="291" spans="1:6" x14ac:dyDescent="0.25">
      <c r="A291" t="s">
        <v>407</v>
      </c>
      <c r="B291">
        <v>1.2444409999999999</v>
      </c>
      <c r="C291">
        <v>-114.057</v>
      </c>
      <c r="D291">
        <v>-136.80000000000001</v>
      </c>
      <c r="E291">
        <v>0.63672499999999999</v>
      </c>
      <c r="F291" t="s">
        <v>26</v>
      </c>
    </row>
    <row r="292" spans="1:6" x14ac:dyDescent="0.25">
      <c r="A292" t="s">
        <v>408</v>
      </c>
      <c r="B292">
        <v>1.2407330000000001</v>
      </c>
      <c r="C292">
        <v>-114.04900000000001</v>
      </c>
      <c r="D292">
        <v>-136.80199999999999</v>
      </c>
      <c r="E292">
        <v>0.63651899999999995</v>
      </c>
      <c r="F292" t="s">
        <v>57</v>
      </c>
    </row>
    <row r="293" spans="1:6" x14ac:dyDescent="0.25">
      <c r="A293" t="s">
        <v>409</v>
      </c>
      <c r="B293">
        <v>1.282314</v>
      </c>
      <c r="C293">
        <v>-114.03400000000001</v>
      </c>
      <c r="D293">
        <v>-136.749</v>
      </c>
      <c r="E293">
        <v>0.65714700000000004</v>
      </c>
      <c r="F293" t="s">
        <v>13</v>
      </c>
    </row>
    <row r="294" spans="1:6" x14ac:dyDescent="0.25">
      <c r="A294" t="s">
        <v>410</v>
      </c>
      <c r="B294">
        <v>1.3173619999999999</v>
      </c>
      <c r="C294">
        <v>-114.02800000000001</v>
      </c>
      <c r="D294">
        <v>-137.446</v>
      </c>
      <c r="E294">
        <v>0.67511200000000005</v>
      </c>
      <c r="F294" t="s">
        <v>49</v>
      </c>
    </row>
    <row r="295" spans="1:6" x14ac:dyDescent="0.25">
      <c r="A295" t="s">
        <v>411</v>
      </c>
      <c r="B295">
        <v>1.284978</v>
      </c>
      <c r="C295">
        <v>-114.027</v>
      </c>
      <c r="D295">
        <v>-137.1</v>
      </c>
      <c r="E295">
        <v>0.658219</v>
      </c>
      <c r="F295" t="s">
        <v>211</v>
      </c>
    </row>
    <row r="296" spans="1:6" x14ac:dyDescent="0.25">
      <c r="A296" t="s">
        <v>412</v>
      </c>
      <c r="B296">
        <v>1.2640089999999999</v>
      </c>
      <c r="C296">
        <v>-114.02500000000001</v>
      </c>
      <c r="D296">
        <v>-136.79300000000001</v>
      </c>
      <c r="E296">
        <v>0.64852600000000005</v>
      </c>
      <c r="F296" t="s">
        <v>26</v>
      </c>
    </row>
    <row r="297" spans="1:6" x14ac:dyDescent="0.25">
      <c r="A297" t="s">
        <v>413</v>
      </c>
      <c r="B297">
        <v>1.299334</v>
      </c>
      <c r="C297">
        <v>-114.02</v>
      </c>
      <c r="D297">
        <v>-137.28700000000001</v>
      </c>
      <c r="E297">
        <v>0.668543</v>
      </c>
      <c r="F297" t="s">
        <v>13</v>
      </c>
    </row>
    <row r="298" spans="1:6" x14ac:dyDescent="0.25">
      <c r="A298" t="s">
        <v>414</v>
      </c>
      <c r="B298">
        <v>1.2666850000000001</v>
      </c>
      <c r="C298">
        <v>-113.991</v>
      </c>
      <c r="D298">
        <v>-138.34</v>
      </c>
      <c r="E298">
        <v>0.64861000000000002</v>
      </c>
      <c r="F298" t="s">
        <v>57</v>
      </c>
    </row>
    <row r="299" spans="1:6" x14ac:dyDescent="0.25">
      <c r="A299" t="s">
        <v>415</v>
      </c>
      <c r="B299">
        <v>1.3094779999999999</v>
      </c>
      <c r="C299">
        <v>-113.98</v>
      </c>
      <c r="D299">
        <v>-137.84399999999999</v>
      </c>
      <c r="E299">
        <v>0.67144800000000004</v>
      </c>
      <c r="F299" t="s">
        <v>11</v>
      </c>
    </row>
    <row r="300" spans="1:6" x14ac:dyDescent="0.25">
      <c r="A300" t="s">
        <v>416</v>
      </c>
      <c r="B300">
        <v>1.252087</v>
      </c>
      <c r="C300">
        <v>-113.976</v>
      </c>
      <c r="D300">
        <v>-136.59899999999999</v>
      </c>
      <c r="E300">
        <v>0.64342600000000005</v>
      </c>
      <c r="F300" t="s">
        <v>26</v>
      </c>
    </row>
    <row r="301" spans="1:6" x14ac:dyDescent="0.25">
      <c r="A301" t="s">
        <v>417</v>
      </c>
      <c r="B301">
        <v>1.290584</v>
      </c>
      <c r="C301">
        <v>-113.937</v>
      </c>
      <c r="D301">
        <v>-136.41499999999999</v>
      </c>
      <c r="E301">
        <v>0.66049100000000005</v>
      </c>
      <c r="F301" t="s">
        <v>11</v>
      </c>
    </row>
    <row r="302" spans="1:6" x14ac:dyDescent="0.25">
      <c r="A302" t="s">
        <v>418</v>
      </c>
      <c r="B302">
        <v>1.2771349999999999</v>
      </c>
      <c r="C302">
        <v>-113.916</v>
      </c>
      <c r="D302">
        <v>-138.35300000000001</v>
      </c>
      <c r="E302">
        <v>0.65662200000000004</v>
      </c>
      <c r="F302" t="s">
        <v>24</v>
      </c>
    </row>
    <row r="303" spans="1:6" x14ac:dyDescent="0.25">
      <c r="A303" t="s">
        <v>419</v>
      </c>
      <c r="B303">
        <v>1.2552270000000001</v>
      </c>
      <c r="C303">
        <v>-113.899</v>
      </c>
      <c r="D303">
        <v>-137.37200000000001</v>
      </c>
      <c r="E303">
        <v>0.64425900000000003</v>
      </c>
      <c r="F303" t="s">
        <v>13</v>
      </c>
    </row>
    <row r="304" spans="1:6" x14ac:dyDescent="0.25">
      <c r="A304" t="s">
        <v>420</v>
      </c>
      <c r="B304">
        <v>1.2345299999999999</v>
      </c>
      <c r="C304">
        <v>-113.898</v>
      </c>
      <c r="D304">
        <v>-135.73599999999999</v>
      </c>
      <c r="E304">
        <v>0.63134100000000004</v>
      </c>
      <c r="F304" t="s">
        <v>26</v>
      </c>
    </row>
    <row r="305" spans="1:6" x14ac:dyDescent="0.25">
      <c r="A305" t="s">
        <v>421</v>
      </c>
      <c r="B305">
        <v>1.250443</v>
      </c>
      <c r="C305">
        <v>-113.895</v>
      </c>
      <c r="D305">
        <v>-134.41200000000001</v>
      </c>
      <c r="E305">
        <v>0.64154900000000004</v>
      </c>
      <c r="F305" t="s">
        <v>16</v>
      </c>
    </row>
    <row r="306" spans="1:6" x14ac:dyDescent="0.25">
      <c r="A306" t="s">
        <v>422</v>
      </c>
      <c r="B306">
        <v>1.252799</v>
      </c>
      <c r="C306">
        <v>-113.884</v>
      </c>
      <c r="D306">
        <v>-139.185</v>
      </c>
      <c r="E306">
        <v>0.64364200000000005</v>
      </c>
      <c r="F306" t="s">
        <v>19</v>
      </c>
    </row>
    <row r="307" spans="1:6" x14ac:dyDescent="0.25">
      <c r="A307" t="s">
        <v>423</v>
      </c>
      <c r="B307">
        <v>1.2413890000000001</v>
      </c>
      <c r="C307">
        <v>-113.883</v>
      </c>
      <c r="D307">
        <v>-137.77099999999999</v>
      </c>
      <c r="E307">
        <v>0.63529800000000003</v>
      </c>
      <c r="F307" t="s">
        <v>24</v>
      </c>
    </row>
    <row r="308" spans="1:6" x14ac:dyDescent="0.25">
      <c r="A308" t="s">
        <v>424</v>
      </c>
      <c r="B308">
        <v>1.2681420000000001</v>
      </c>
      <c r="C308">
        <v>-113.857</v>
      </c>
      <c r="D308">
        <v>-137.47999999999999</v>
      </c>
      <c r="E308">
        <v>0.65356000000000003</v>
      </c>
      <c r="F308" t="s">
        <v>19</v>
      </c>
    </row>
    <row r="309" spans="1:6" x14ac:dyDescent="0.25">
      <c r="A309" t="s">
        <v>425</v>
      </c>
      <c r="B309">
        <v>1.27658</v>
      </c>
      <c r="C309">
        <v>-113.84099999999999</v>
      </c>
      <c r="D309">
        <v>-136.91399999999999</v>
      </c>
      <c r="E309">
        <v>0.65680400000000005</v>
      </c>
      <c r="F309" t="s">
        <v>8</v>
      </c>
    </row>
    <row r="310" spans="1:6" x14ac:dyDescent="0.25">
      <c r="A310" t="s">
        <v>426</v>
      </c>
      <c r="B310">
        <v>1.258686</v>
      </c>
      <c r="C310">
        <v>-113.812</v>
      </c>
      <c r="D310">
        <v>-137.02199999999999</v>
      </c>
      <c r="E310">
        <v>0.64431899999999998</v>
      </c>
      <c r="F310" t="s">
        <v>13</v>
      </c>
    </row>
    <row r="311" spans="1:6" x14ac:dyDescent="0.25">
      <c r="A311" t="s">
        <v>427</v>
      </c>
      <c r="B311">
        <v>1.232048</v>
      </c>
      <c r="C311">
        <v>-113.768</v>
      </c>
      <c r="D311">
        <v>-137.53</v>
      </c>
      <c r="E311">
        <v>0.62998799999999999</v>
      </c>
      <c r="F311" t="s">
        <v>49</v>
      </c>
    </row>
    <row r="312" spans="1:6" x14ac:dyDescent="0.25">
      <c r="A312" t="s">
        <v>428</v>
      </c>
      <c r="B312">
        <v>1.2983020000000001</v>
      </c>
      <c r="C312">
        <v>-113.76600000000001</v>
      </c>
      <c r="D312">
        <v>-136.304</v>
      </c>
      <c r="E312">
        <v>0.66487200000000002</v>
      </c>
      <c r="F312" t="s">
        <v>26</v>
      </c>
    </row>
    <row r="313" spans="1:6" x14ac:dyDescent="0.25">
      <c r="A313" t="s">
        <v>429</v>
      </c>
      <c r="B313">
        <v>1.28576</v>
      </c>
      <c r="C313">
        <v>-113.76600000000001</v>
      </c>
      <c r="D313">
        <v>-136.86199999999999</v>
      </c>
      <c r="E313">
        <v>0.659466</v>
      </c>
      <c r="F313" t="s">
        <v>49</v>
      </c>
    </row>
    <row r="314" spans="1:6" x14ac:dyDescent="0.25">
      <c r="A314" t="s">
        <v>430</v>
      </c>
      <c r="B314">
        <v>1.291129</v>
      </c>
      <c r="C314">
        <v>-113.761</v>
      </c>
      <c r="D314">
        <v>-137.399</v>
      </c>
      <c r="E314">
        <v>0.66244599999999998</v>
      </c>
      <c r="F314" t="s">
        <v>24</v>
      </c>
    </row>
    <row r="315" spans="1:6" x14ac:dyDescent="0.25">
      <c r="A315" t="s">
        <v>431</v>
      </c>
      <c r="B315">
        <v>1.2770779999999999</v>
      </c>
      <c r="C315">
        <v>-113.72499999999999</v>
      </c>
      <c r="D315">
        <v>-144.90100000000001</v>
      </c>
      <c r="E315">
        <v>0.655138</v>
      </c>
      <c r="F315" t="s">
        <v>13</v>
      </c>
    </row>
    <row r="316" spans="1:6" x14ac:dyDescent="0.25">
      <c r="A316" t="s">
        <v>432</v>
      </c>
      <c r="B316">
        <v>1.2757670000000001</v>
      </c>
      <c r="C316">
        <v>-113.709</v>
      </c>
      <c r="D316">
        <v>-113.709</v>
      </c>
      <c r="E316">
        <v>0.65413900000000003</v>
      </c>
      <c r="F316" t="s">
        <v>13</v>
      </c>
    </row>
    <row r="317" spans="1:6" x14ac:dyDescent="0.25">
      <c r="A317" t="s">
        <v>433</v>
      </c>
      <c r="B317">
        <v>1.287903</v>
      </c>
      <c r="C317">
        <v>-113.7</v>
      </c>
      <c r="D317">
        <v>-138.93299999999999</v>
      </c>
      <c r="E317">
        <v>0.66157699999999997</v>
      </c>
      <c r="F317" t="s">
        <v>8</v>
      </c>
    </row>
    <row r="318" spans="1:6" x14ac:dyDescent="0.25">
      <c r="A318" t="s">
        <v>434</v>
      </c>
      <c r="B318">
        <v>1.2624409999999999</v>
      </c>
      <c r="C318">
        <v>-113.69</v>
      </c>
      <c r="D318">
        <v>-137.208</v>
      </c>
      <c r="E318">
        <v>0.64319800000000005</v>
      </c>
      <c r="F318" t="s">
        <v>19</v>
      </c>
    </row>
    <row r="319" spans="1:6" x14ac:dyDescent="0.25">
      <c r="A319" t="s">
        <v>435</v>
      </c>
      <c r="B319">
        <v>1.256327</v>
      </c>
      <c r="C319">
        <v>-113.666</v>
      </c>
      <c r="D319">
        <v>-137.18899999999999</v>
      </c>
      <c r="E319">
        <v>0.64534599999999998</v>
      </c>
      <c r="F319" t="s">
        <v>22</v>
      </c>
    </row>
    <row r="320" spans="1:6" x14ac:dyDescent="0.25">
      <c r="A320" t="s">
        <v>436</v>
      </c>
      <c r="B320">
        <v>1.2764329999999999</v>
      </c>
      <c r="C320">
        <v>-113.654</v>
      </c>
      <c r="D320">
        <v>-137.16499999999999</v>
      </c>
      <c r="E320">
        <v>0.65515900000000005</v>
      </c>
      <c r="F320" t="s">
        <v>57</v>
      </c>
    </row>
    <row r="321" spans="1:6" x14ac:dyDescent="0.25">
      <c r="A321" t="s">
        <v>437</v>
      </c>
      <c r="B321">
        <v>1.2673650000000001</v>
      </c>
      <c r="C321">
        <v>-113.643</v>
      </c>
      <c r="D321">
        <v>-137.494</v>
      </c>
      <c r="E321">
        <v>0.64917400000000003</v>
      </c>
      <c r="F321" t="s">
        <v>57</v>
      </c>
    </row>
    <row r="322" spans="1:6" x14ac:dyDescent="0.25">
      <c r="A322" t="s">
        <v>438</v>
      </c>
      <c r="B322">
        <v>1.289644</v>
      </c>
      <c r="C322">
        <v>-113.616</v>
      </c>
      <c r="D322">
        <v>-136.995</v>
      </c>
      <c r="E322">
        <v>0.66187099999999999</v>
      </c>
      <c r="F322" t="s">
        <v>19</v>
      </c>
    </row>
    <row r="323" spans="1:6" x14ac:dyDescent="0.25">
      <c r="A323" t="s">
        <v>439</v>
      </c>
      <c r="B323">
        <v>1.2634799999999999</v>
      </c>
      <c r="C323">
        <v>-113.608</v>
      </c>
      <c r="D323">
        <v>-137.21700000000001</v>
      </c>
      <c r="E323">
        <v>0.64927500000000005</v>
      </c>
      <c r="F323" t="s">
        <v>13</v>
      </c>
    </row>
    <row r="324" spans="1:6" x14ac:dyDescent="0.25">
      <c r="A324" t="s">
        <v>440</v>
      </c>
      <c r="B324">
        <v>1.2911330000000001</v>
      </c>
      <c r="C324">
        <v>-113.60299999999999</v>
      </c>
      <c r="D324">
        <v>-137.67500000000001</v>
      </c>
      <c r="E324">
        <v>0.661852</v>
      </c>
      <c r="F324" t="s">
        <v>24</v>
      </c>
    </row>
    <row r="325" spans="1:6" x14ac:dyDescent="0.25">
      <c r="A325" t="s">
        <v>441</v>
      </c>
      <c r="B325">
        <v>1.2604040000000001</v>
      </c>
      <c r="C325">
        <v>-113.602</v>
      </c>
      <c r="D325">
        <v>-136.523</v>
      </c>
      <c r="E325">
        <v>0.64821899999999999</v>
      </c>
      <c r="F325" t="s">
        <v>13</v>
      </c>
    </row>
    <row r="326" spans="1:6" x14ac:dyDescent="0.25">
      <c r="A326" t="s">
        <v>442</v>
      </c>
      <c r="B326">
        <v>1.260527</v>
      </c>
      <c r="C326">
        <v>-113.587</v>
      </c>
      <c r="D326">
        <v>-139.10499999999999</v>
      </c>
      <c r="E326">
        <v>0.64489099999999999</v>
      </c>
      <c r="F326" t="s">
        <v>13</v>
      </c>
    </row>
    <row r="327" spans="1:6" x14ac:dyDescent="0.25">
      <c r="A327" t="s">
        <v>443</v>
      </c>
      <c r="B327">
        <v>1.251668</v>
      </c>
      <c r="C327">
        <v>-113.572</v>
      </c>
      <c r="D327">
        <v>-113.572</v>
      </c>
      <c r="E327">
        <v>0.64185400000000004</v>
      </c>
      <c r="F327" t="s">
        <v>194</v>
      </c>
    </row>
    <row r="328" spans="1:6" x14ac:dyDescent="0.25">
      <c r="A328" t="s">
        <v>444</v>
      </c>
      <c r="B328">
        <v>1.2478450000000001</v>
      </c>
      <c r="C328">
        <v>-113.56699999999999</v>
      </c>
      <c r="D328">
        <v>-137.66300000000001</v>
      </c>
      <c r="E328">
        <v>0.64226399999999995</v>
      </c>
      <c r="F328" t="s">
        <v>445</v>
      </c>
    </row>
    <row r="329" spans="1:6" x14ac:dyDescent="0.25">
      <c r="A329" t="s">
        <v>446</v>
      </c>
      <c r="B329">
        <v>1.2905869999999999</v>
      </c>
      <c r="C329">
        <v>-113.55800000000001</v>
      </c>
      <c r="D329">
        <v>-137.03700000000001</v>
      </c>
      <c r="E329">
        <v>0.66428900000000002</v>
      </c>
      <c r="F329" t="s">
        <v>24</v>
      </c>
    </row>
    <row r="330" spans="1:6" x14ac:dyDescent="0.25">
      <c r="A330" t="s">
        <v>447</v>
      </c>
      <c r="B330">
        <v>1.2731969999999999</v>
      </c>
      <c r="C330">
        <v>-113.544</v>
      </c>
      <c r="D330">
        <v>-137.04499999999999</v>
      </c>
      <c r="E330">
        <v>0.65427299999999999</v>
      </c>
      <c r="F330" t="s">
        <v>22</v>
      </c>
    </row>
    <row r="331" spans="1:6" x14ac:dyDescent="0.25">
      <c r="A331" t="s">
        <v>448</v>
      </c>
      <c r="B331">
        <v>1.2722789999999999</v>
      </c>
      <c r="C331">
        <v>-113.52800000000001</v>
      </c>
      <c r="D331">
        <v>-136.608</v>
      </c>
      <c r="E331">
        <v>0.65228299999999995</v>
      </c>
      <c r="F331" t="s">
        <v>57</v>
      </c>
    </row>
    <row r="332" spans="1:6" x14ac:dyDescent="0.25">
      <c r="A332" t="s">
        <v>449</v>
      </c>
      <c r="B332">
        <v>1.281531</v>
      </c>
      <c r="C332">
        <v>-113.523</v>
      </c>
      <c r="D332">
        <v>-136.328</v>
      </c>
      <c r="E332">
        <v>0.65864299999999998</v>
      </c>
      <c r="F332" t="s">
        <v>11</v>
      </c>
    </row>
    <row r="333" spans="1:6" x14ac:dyDescent="0.25">
      <c r="A333" t="s">
        <v>450</v>
      </c>
      <c r="B333">
        <v>1.2559499999999999</v>
      </c>
      <c r="C333">
        <v>-113.508</v>
      </c>
      <c r="D333">
        <v>-137.958</v>
      </c>
      <c r="E333">
        <v>0.64599399999999996</v>
      </c>
      <c r="F333" t="s">
        <v>22</v>
      </c>
    </row>
    <row r="334" spans="1:6" x14ac:dyDescent="0.25">
      <c r="A334" t="s">
        <v>451</v>
      </c>
      <c r="B334">
        <v>1.2717860000000001</v>
      </c>
      <c r="C334">
        <v>-113.508</v>
      </c>
      <c r="D334">
        <v>-137.858</v>
      </c>
      <c r="E334">
        <v>0.65334999999999999</v>
      </c>
      <c r="F334" t="s">
        <v>22</v>
      </c>
    </row>
    <row r="335" spans="1:6" x14ac:dyDescent="0.25">
      <c r="A335" t="s">
        <v>452</v>
      </c>
      <c r="B335">
        <v>1.2569429999999999</v>
      </c>
      <c r="C335">
        <v>-113.506</v>
      </c>
      <c r="D335">
        <v>-136.703</v>
      </c>
      <c r="E335">
        <v>0.64436800000000005</v>
      </c>
      <c r="F335" t="s">
        <v>13</v>
      </c>
    </row>
    <row r="336" spans="1:6" x14ac:dyDescent="0.25">
      <c r="A336" t="s">
        <v>453</v>
      </c>
      <c r="B336">
        <v>1.262813</v>
      </c>
      <c r="C336">
        <v>-113.503</v>
      </c>
      <c r="D336">
        <v>-138.00399999999999</v>
      </c>
      <c r="E336">
        <v>0.64431799999999995</v>
      </c>
      <c r="F336" t="s">
        <v>13</v>
      </c>
    </row>
    <row r="337" spans="1:6" x14ac:dyDescent="0.25">
      <c r="A337" t="s">
        <v>454</v>
      </c>
      <c r="B337">
        <v>1.2539800000000001</v>
      </c>
      <c r="C337">
        <v>-113.477</v>
      </c>
      <c r="D337">
        <v>-138.143</v>
      </c>
      <c r="E337">
        <v>0.63934199999999997</v>
      </c>
      <c r="F337" t="s">
        <v>49</v>
      </c>
    </row>
    <row r="338" spans="1:6" x14ac:dyDescent="0.25">
      <c r="A338" t="s">
        <v>455</v>
      </c>
      <c r="B338">
        <v>1.264737</v>
      </c>
      <c r="C338">
        <v>-113.474</v>
      </c>
      <c r="D338">
        <v>-136.20599999999999</v>
      </c>
      <c r="E338">
        <v>0.64921700000000004</v>
      </c>
      <c r="F338" t="s">
        <v>57</v>
      </c>
    </row>
    <row r="339" spans="1:6" x14ac:dyDescent="0.25">
      <c r="A339" t="s">
        <v>456</v>
      </c>
      <c r="B339">
        <v>1.305671</v>
      </c>
      <c r="C339">
        <v>-113.46599999999999</v>
      </c>
      <c r="D339">
        <v>-138.05699999999999</v>
      </c>
      <c r="E339">
        <v>0.66972100000000001</v>
      </c>
      <c r="F339" t="s">
        <v>13</v>
      </c>
    </row>
    <row r="340" spans="1:6" x14ac:dyDescent="0.25">
      <c r="A340" t="s">
        <v>457</v>
      </c>
      <c r="B340">
        <v>1.2983340000000001</v>
      </c>
      <c r="C340">
        <v>-113.425</v>
      </c>
      <c r="D340">
        <v>-137.76300000000001</v>
      </c>
      <c r="E340">
        <v>0.66608800000000001</v>
      </c>
      <c r="F340" t="s">
        <v>57</v>
      </c>
    </row>
    <row r="341" spans="1:6" x14ac:dyDescent="0.25">
      <c r="A341" t="s">
        <v>458</v>
      </c>
      <c r="B341" t="s">
        <v>459</v>
      </c>
      <c r="C341">
        <f>-113.419 -111.554</f>
        <v>-224.97300000000001</v>
      </c>
      <c r="D341">
        <f>-137.843 -136.564</f>
        <v>-274.40699999999998</v>
      </c>
      <c r="E341" t="s">
        <v>460</v>
      </c>
      <c r="F341" t="s">
        <v>31</v>
      </c>
    </row>
    <row r="342" spans="1:6" x14ac:dyDescent="0.25">
      <c r="A342" t="s">
        <v>461</v>
      </c>
      <c r="B342" t="s">
        <v>462</v>
      </c>
      <c r="C342">
        <f>-113.412 -106.226</f>
        <v>-219.63800000000001</v>
      </c>
      <c r="D342">
        <f>-138.179 -106.226</f>
        <v>-244.405</v>
      </c>
      <c r="E342" t="s">
        <v>463</v>
      </c>
      <c r="F342" t="s">
        <v>77</v>
      </c>
    </row>
    <row r="343" spans="1:6" x14ac:dyDescent="0.25">
      <c r="A343" t="s">
        <v>464</v>
      </c>
      <c r="B343">
        <v>1.2889280000000001</v>
      </c>
      <c r="C343">
        <v>-113.39700000000001</v>
      </c>
      <c r="D343">
        <v>-136.98699999999999</v>
      </c>
      <c r="E343">
        <v>0.661358</v>
      </c>
      <c r="F343" t="s">
        <v>57</v>
      </c>
    </row>
    <row r="344" spans="1:6" x14ac:dyDescent="0.25">
      <c r="A344" t="s">
        <v>465</v>
      </c>
      <c r="B344" t="s">
        <v>466</v>
      </c>
      <c r="C344">
        <f>-113.39 -113.041</f>
        <v>-226.43099999999998</v>
      </c>
      <c r="D344">
        <f>-138.336 -136.107</f>
        <v>-274.44299999999998</v>
      </c>
      <c r="E344" t="s">
        <v>467</v>
      </c>
      <c r="F344" t="s">
        <v>87</v>
      </c>
    </row>
    <row r="345" spans="1:6" x14ac:dyDescent="0.25">
      <c r="A345" t="s">
        <v>468</v>
      </c>
      <c r="B345">
        <v>1.275965</v>
      </c>
      <c r="C345">
        <v>-113.389</v>
      </c>
      <c r="D345">
        <v>-136.959</v>
      </c>
      <c r="E345">
        <v>0.653173</v>
      </c>
      <c r="F345" t="s">
        <v>201</v>
      </c>
    </row>
    <row r="346" spans="1:6" x14ac:dyDescent="0.25">
      <c r="A346" t="s">
        <v>469</v>
      </c>
      <c r="B346">
        <v>1.3237779999999999</v>
      </c>
      <c r="C346">
        <v>-113.389</v>
      </c>
      <c r="D346">
        <v>-136.023</v>
      </c>
      <c r="E346">
        <v>0.68030199999999996</v>
      </c>
      <c r="F346" t="s">
        <v>26</v>
      </c>
    </row>
    <row r="347" spans="1:6" x14ac:dyDescent="0.25">
      <c r="A347" t="s">
        <v>470</v>
      </c>
      <c r="B347">
        <v>1.30477</v>
      </c>
      <c r="C347">
        <v>-113.374</v>
      </c>
      <c r="D347">
        <v>-138.07400000000001</v>
      </c>
      <c r="E347">
        <v>0.67134199999999999</v>
      </c>
      <c r="F347" t="s">
        <v>13</v>
      </c>
    </row>
    <row r="348" spans="1:6" x14ac:dyDescent="0.25">
      <c r="A348" t="s">
        <v>471</v>
      </c>
      <c r="B348">
        <v>1.2832269999999999</v>
      </c>
      <c r="C348">
        <v>-113.373</v>
      </c>
      <c r="D348">
        <v>-139.88499999999999</v>
      </c>
      <c r="E348">
        <v>0.66064000000000001</v>
      </c>
      <c r="F348" t="s">
        <v>13</v>
      </c>
    </row>
    <row r="349" spans="1:6" x14ac:dyDescent="0.25">
      <c r="A349" t="s">
        <v>472</v>
      </c>
      <c r="B349">
        <v>1.2403690000000001</v>
      </c>
      <c r="C349">
        <v>-113.37</v>
      </c>
      <c r="D349">
        <v>-113.37</v>
      </c>
      <c r="E349">
        <v>0.63747600000000004</v>
      </c>
      <c r="F349" t="s">
        <v>401</v>
      </c>
    </row>
    <row r="350" spans="1:6" x14ac:dyDescent="0.25">
      <c r="A350" t="s">
        <v>473</v>
      </c>
      <c r="B350">
        <v>1.242551</v>
      </c>
      <c r="C350">
        <v>-113.37</v>
      </c>
      <c r="D350">
        <v>-137.02500000000001</v>
      </c>
      <c r="E350">
        <v>0.63908600000000004</v>
      </c>
      <c r="F350" t="s">
        <v>49</v>
      </c>
    </row>
    <row r="351" spans="1:6" x14ac:dyDescent="0.25">
      <c r="A351" t="s">
        <v>474</v>
      </c>
      <c r="B351">
        <v>1.240764</v>
      </c>
      <c r="C351">
        <v>-113.361</v>
      </c>
      <c r="D351">
        <v>-140.33799999999999</v>
      </c>
      <c r="E351">
        <v>0.63603100000000001</v>
      </c>
      <c r="F351" t="s">
        <v>144</v>
      </c>
    </row>
    <row r="352" spans="1:6" x14ac:dyDescent="0.25">
      <c r="A352" t="s">
        <v>475</v>
      </c>
      <c r="B352">
        <v>1.2835000000000001</v>
      </c>
      <c r="C352">
        <v>-113.35899999999999</v>
      </c>
      <c r="D352">
        <v>-137.065</v>
      </c>
      <c r="E352">
        <v>0.65864599999999995</v>
      </c>
      <c r="F352" t="s">
        <v>22</v>
      </c>
    </row>
    <row r="353" spans="1:6" x14ac:dyDescent="0.25">
      <c r="A353" t="s">
        <v>476</v>
      </c>
      <c r="B353">
        <v>1.271434</v>
      </c>
      <c r="C353">
        <v>-113.357</v>
      </c>
      <c r="D353">
        <v>-138.57400000000001</v>
      </c>
      <c r="E353">
        <v>0.65360499999999999</v>
      </c>
      <c r="F353" t="s">
        <v>24</v>
      </c>
    </row>
    <row r="354" spans="1:6" x14ac:dyDescent="0.25">
      <c r="A354" t="s">
        <v>477</v>
      </c>
      <c r="B354">
        <v>1.2247710000000001</v>
      </c>
      <c r="C354">
        <v>-113.35599999999999</v>
      </c>
      <c r="D354">
        <v>-136.81800000000001</v>
      </c>
      <c r="E354">
        <v>0.62795900000000004</v>
      </c>
      <c r="F354" t="s">
        <v>8</v>
      </c>
    </row>
    <row r="355" spans="1:6" x14ac:dyDescent="0.25">
      <c r="A355" t="s">
        <v>478</v>
      </c>
      <c r="B355">
        <v>1.2935110000000001</v>
      </c>
      <c r="C355">
        <v>-113.34699999999999</v>
      </c>
      <c r="D355">
        <v>-138.679</v>
      </c>
      <c r="E355">
        <v>0.66470499999999999</v>
      </c>
      <c r="F355" t="s">
        <v>246</v>
      </c>
    </row>
    <row r="356" spans="1:6" x14ac:dyDescent="0.25">
      <c r="A356" t="s">
        <v>479</v>
      </c>
      <c r="B356">
        <v>1.2935019999999999</v>
      </c>
      <c r="C356">
        <v>-113.34</v>
      </c>
      <c r="D356">
        <v>-138.66999999999999</v>
      </c>
      <c r="E356">
        <v>0.66293299999999999</v>
      </c>
      <c r="F356" t="s">
        <v>19</v>
      </c>
    </row>
    <row r="357" spans="1:6" x14ac:dyDescent="0.25">
      <c r="A357" t="s">
        <v>480</v>
      </c>
      <c r="B357">
        <v>1.281236</v>
      </c>
      <c r="C357">
        <v>-113.29600000000001</v>
      </c>
      <c r="D357">
        <v>-137.43799999999999</v>
      </c>
      <c r="E357">
        <v>0.65682399999999996</v>
      </c>
      <c r="F357" t="s">
        <v>13</v>
      </c>
    </row>
    <row r="358" spans="1:6" x14ac:dyDescent="0.25">
      <c r="A358" t="s">
        <v>481</v>
      </c>
      <c r="B358">
        <v>1.293075</v>
      </c>
      <c r="C358">
        <v>-113.25</v>
      </c>
      <c r="D358">
        <v>-138.364</v>
      </c>
      <c r="E358">
        <v>0.66300300000000001</v>
      </c>
      <c r="F358" t="s">
        <v>11</v>
      </c>
    </row>
    <row r="359" spans="1:6" x14ac:dyDescent="0.25">
      <c r="A359" t="s">
        <v>482</v>
      </c>
      <c r="B359">
        <v>1.285123</v>
      </c>
      <c r="C359">
        <v>-113.249</v>
      </c>
      <c r="D359">
        <v>-137.08500000000001</v>
      </c>
      <c r="E359">
        <v>0.66018900000000003</v>
      </c>
      <c r="F359" t="s">
        <v>57</v>
      </c>
    </row>
    <row r="360" spans="1:6" x14ac:dyDescent="0.25">
      <c r="A360" t="s">
        <v>483</v>
      </c>
      <c r="B360">
        <v>1.2655179999999999</v>
      </c>
      <c r="C360">
        <v>-113.239</v>
      </c>
      <c r="D360">
        <v>-145.83799999999999</v>
      </c>
      <c r="E360">
        <v>0.64803100000000002</v>
      </c>
      <c r="F360" t="s">
        <v>24</v>
      </c>
    </row>
    <row r="361" spans="1:6" x14ac:dyDescent="0.25">
      <c r="A361" t="s">
        <v>484</v>
      </c>
      <c r="B361">
        <v>1.241662</v>
      </c>
      <c r="C361">
        <v>-113.23</v>
      </c>
      <c r="D361">
        <v>-137.339</v>
      </c>
      <c r="E361">
        <v>0.63609400000000005</v>
      </c>
      <c r="F361" t="s">
        <v>11</v>
      </c>
    </row>
    <row r="362" spans="1:6" x14ac:dyDescent="0.25">
      <c r="A362" t="s">
        <v>485</v>
      </c>
      <c r="B362">
        <v>1.2786169999999999</v>
      </c>
      <c r="C362">
        <v>-113.22499999999999</v>
      </c>
      <c r="D362">
        <v>-137.184</v>
      </c>
      <c r="E362">
        <v>0.65844800000000003</v>
      </c>
      <c r="F362" t="s">
        <v>140</v>
      </c>
    </row>
    <row r="363" spans="1:6" x14ac:dyDescent="0.25">
      <c r="A363" t="s">
        <v>486</v>
      </c>
      <c r="B363">
        <v>1.2847420000000001</v>
      </c>
      <c r="C363">
        <v>-113.206</v>
      </c>
      <c r="D363">
        <v>-113.206</v>
      </c>
      <c r="E363">
        <v>0.660945</v>
      </c>
      <c r="F363" t="s">
        <v>22</v>
      </c>
    </row>
    <row r="364" spans="1:6" x14ac:dyDescent="0.25">
      <c r="A364" t="s">
        <v>487</v>
      </c>
      <c r="B364">
        <v>1.2553829999999999</v>
      </c>
      <c r="C364">
        <v>-113.206</v>
      </c>
      <c r="D364">
        <v>-135.84800000000001</v>
      </c>
      <c r="E364">
        <v>0.64449199999999995</v>
      </c>
      <c r="F364" t="s">
        <v>57</v>
      </c>
    </row>
    <row r="365" spans="1:6" x14ac:dyDescent="0.25">
      <c r="A365" t="s">
        <v>488</v>
      </c>
      <c r="B365">
        <v>1.2730900000000001</v>
      </c>
      <c r="C365">
        <v>-113.20399999999999</v>
      </c>
      <c r="D365">
        <v>-139.19499999999999</v>
      </c>
      <c r="E365">
        <v>0.65469200000000005</v>
      </c>
      <c r="F365" t="s">
        <v>8</v>
      </c>
    </row>
    <row r="366" spans="1:6" x14ac:dyDescent="0.25">
      <c r="A366" t="s">
        <v>489</v>
      </c>
      <c r="B366">
        <v>1.297374</v>
      </c>
      <c r="C366">
        <v>-113.188</v>
      </c>
      <c r="D366">
        <v>-113.188</v>
      </c>
      <c r="E366">
        <v>0.66479699999999997</v>
      </c>
      <c r="F366" t="s">
        <v>194</v>
      </c>
    </row>
    <row r="367" spans="1:6" x14ac:dyDescent="0.25">
      <c r="A367" t="s">
        <v>490</v>
      </c>
      <c r="B367">
        <v>1.2867999999999999</v>
      </c>
      <c r="C367">
        <v>-113.17</v>
      </c>
      <c r="D367">
        <v>-135.66900000000001</v>
      </c>
      <c r="E367">
        <v>0.66039499999999995</v>
      </c>
      <c r="F367" t="s">
        <v>26</v>
      </c>
    </row>
    <row r="368" spans="1:6" x14ac:dyDescent="0.25">
      <c r="A368" t="s">
        <v>491</v>
      </c>
      <c r="B368">
        <v>1.2576929999999999</v>
      </c>
      <c r="C368">
        <v>-113.167</v>
      </c>
      <c r="D368">
        <v>-137.93</v>
      </c>
      <c r="E368">
        <v>0.64530500000000002</v>
      </c>
      <c r="F368" t="s">
        <v>57</v>
      </c>
    </row>
    <row r="369" spans="1:6" x14ac:dyDescent="0.25">
      <c r="A369" t="s">
        <v>492</v>
      </c>
      <c r="B369">
        <v>1.2327889999999999</v>
      </c>
      <c r="C369">
        <v>-113.151</v>
      </c>
      <c r="D369">
        <v>-136.72</v>
      </c>
      <c r="E369">
        <v>0.63112000000000001</v>
      </c>
      <c r="F369" t="s">
        <v>13</v>
      </c>
    </row>
    <row r="370" spans="1:6" x14ac:dyDescent="0.25">
      <c r="A370" t="s">
        <v>493</v>
      </c>
      <c r="B370">
        <v>1.242205</v>
      </c>
      <c r="C370">
        <v>-113.10299999999999</v>
      </c>
      <c r="D370">
        <v>-136.26400000000001</v>
      </c>
      <c r="E370">
        <v>0.635212</v>
      </c>
      <c r="F370" t="s">
        <v>11</v>
      </c>
    </row>
    <row r="371" spans="1:6" x14ac:dyDescent="0.25">
      <c r="A371" t="s">
        <v>494</v>
      </c>
      <c r="B371">
        <v>1.3158939999999999</v>
      </c>
      <c r="C371">
        <v>-113.102</v>
      </c>
      <c r="D371">
        <v>-135.68199999999999</v>
      </c>
      <c r="E371">
        <v>0.67422499999999996</v>
      </c>
      <c r="F371" t="s">
        <v>57</v>
      </c>
    </row>
    <row r="372" spans="1:6" x14ac:dyDescent="0.25">
      <c r="A372" t="s">
        <v>495</v>
      </c>
      <c r="B372">
        <v>1.2572620000000001</v>
      </c>
      <c r="C372">
        <v>-113.07599999999999</v>
      </c>
      <c r="D372">
        <v>-137.12899999999999</v>
      </c>
      <c r="E372">
        <v>0.64346700000000001</v>
      </c>
      <c r="F372" t="s">
        <v>8</v>
      </c>
    </row>
    <row r="373" spans="1:6" x14ac:dyDescent="0.25">
      <c r="A373" t="s">
        <v>496</v>
      </c>
      <c r="B373">
        <v>1.2496719999999999</v>
      </c>
      <c r="C373">
        <v>-113.03100000000001</v>
      </c>
      <c r="D373">
        <v>-140.16800000000001</v>
      </c>
      <c r="E373">
        <v>0.64085199999999998</v>
      </c>
      <c r="F373" t="s">
        <v>246</v>
      </c>
    </row>
    <row r="374" spans="1:6" x14ac:dyDescent="0.25">
      <c r="A374" t="s">
        <v>497</v>
      </c>
      <c r="B374">
        <v>1.249695</v>
      </c>
      <c r="C374">
        <v>-113.02800000000001</v>
      </c>
      <c r="D374">
        <v>-140.166</v>
      </c>
      <c r="E374">
        <v>0.63990899999999995</v>
      </c>
      <c r="F374" t="s">
        <v>246</v>
      </c>
    </row>
    <row r="375" spans="1:6" x14ac:dyDescent="0.25">
      <c r="A375" t="s">
        <v>498</v>
      </c>
      <c r="B375">
        <v>1.29301</v>
      </c>
      <c r="C375">
        <v>-113.02</v>
      </c>
      <c r="D375">
        <v>-136.524</v>
      </c>
      <c r="E375">
        <v>0.66166999999999998</v>
      </c>
      <c r="F375" t="s">
        <v>57</v>
      </c>
    </row>
    <row r="376" spans="1:6" x14ac:dyDescent="0.25">
      <c r="A376" t="s">
        <v>499</v>
      </c>
      <c r="B376" t="s">
        <v>500</v>
      </c>
      <c r="C376">
        <f>-113.018 -107.662</f>
        <v>-220.68</v>
      </c>
      <c r="D376">
        <f>-135.968 -131.108</f>
        <v>-267.07600000000002</v>
      </c>
      <c r="E376" t="s">
        <v>501</v>
      </c>
      <c r="F376" t="s">
        <v>53</v>
      </c>
    </row>
    <row r="377" spans="1:6" x14ac:dyDescent="0.25">
      <c r="A377" t="s">
        <v>502</v>
      </c>
      <c r="B377">
        <v>1.2797339999999999</v>
      </c>
      <c r="C377">
        <v>-113.001</v>
      </c>
      <c r="D377">
        <v>-136.309</v>
      </c>
      <c r="E377">
        <v>0.65858799999999995</v>
      </c>
      <c r="F377" t="s">
        <v>13</v>
      </c>
    </row>
    <row r="378" spans="1:6" x14ac:dyDescent="0.25">
      <c r="A378" t="s">
        <v>503</v>
      </c>
      <c r="B378">
        <v>1.258769</v>
      </c>
      <c r="C378">
        <v>-112.996</v>
      </c>
      <c r="D378">
        <v>-137.04900000000001</v>
      </c>
      <c r="E378">
        <v>0.64660899999999999</v>
      </c>
      <c r="F378" t="s">
        <v>19</v>
      </c>
    </row>
    <row r="379" spans="1:6" x14ac:dyDescent="0.25">
      <c r="A379" t="s">
        <v>504</v>
      </c>
      <c r="B379" t="s">
        <v>505</v>
      </c>
      <c r="C379">
        <f>-112.988 -114.206</f>
        <v>-227.19400000000002</v>
      </c>
      <c r="D379">
        <f>-136.573 -138.088</f>
        <v>-274.661</v>
      </c>
      <c r="E379" t="s">
        <v>506</v>
      </c>
      <c r="F379" t="s">
        <v>87</v>
      </c>
    </row>
    <row r="380" spans="1:6" x14ac:dyDescent="0.25">
      <c r="A380" t="s">
        <v>507</v>
      </c>
      <c r="B380">
        <v>1.304044</v>
      </c>
      <c r="C380">
        <v>-112.983</v>
      </c>
      <c r="D380">
        <v>-137.767</v>
      </c>
      <c r="E380">
        <v>0.66945900000000003</v>
      </c>
      <c r="F380" t="s">
        <v>13</v>
      </c>
    </row>
    <row r="381" spans="1:6" x14ac:dyDescent="0.25">
      <c r="A381" t="s">
        <v>508</v>
      </c>
      <c r="B381">
        <v>1.3025100000000001</v>
      </c>
      <c r="C381">
        <v>-112.973</v>
      </c>
      <c r="D381">
        <v>-136.899</v>
      </c>
      <c r="E381">
        <v>0.66679500000000003</v>
      </c>
      <c r="F381" t="s">
        <v>13</v>
      </c>
    </row>
    <row r="382" spans="1:6" x14ac:dyDescent="0.25">
      <c r="A382" t="s">
        <v>509</v>
      </c>
      <c r="B382">
        <v>1.295196</v>
      </c>
      <c r="C382">
        <v>-112.956</v>
      </c>
      <c r="D382">
        <v>-136.512</v>
      </c>
      <c r="E382">
        <v>0.66491699999999998</v>
      </c>
      <c r="F382" t="s">
        <v>57</v>
      </c>
    </row>
    <row r="383" spans="1:6" x14ac:dyDescent="0.25">
      <c r="A383" t="s">
        <v>510</v>
      </c>
      <c r="B383">
        <v>1.2827839999999999</v>
      </c>
      <c r="C383">
        <v>-112.93300000000001</v>
      </c>
      <c r="D383">
        <v>-136.30699999999999</v>
      </c>
      <c r="E383">
        <v>0.65632900000000005</v>
      </c>
      <c r="F383" t="s">
        <v>13</v>
      </c>
    </row>
    <row r="384" spans="1:6" x14ac:dyDescent="0.25">
      <c r="A384" t="s">
        <v>511</v>
      </c>
      <c r="B384" t="s">
        <v>512</v>
      </c>
      <c r="C384">
        <f>-112.93 -118.476</f>
        <v>-231.40600000000001</v>
      </c>
      <c r="D384" t="s">
        <v>513</v>
      </c>
      <c r="E384" t="s">
        <v>514</v>
      </c>
      <c r="F384" t="s">
        <v>187</v>
      </c>
    </row>
    <row r="385" spans="1:6" x14ac:dyDescent="0.25">
      <c r="A385" t="s">
        <v>515</v>
      </c>
      <c r="B385">
        <v>1.2741469999999999</v>
      </c>
      <c r="C385">
        <v>-112.907</v>
      </c>
      <c r="D385">
        <v>-136.75200000000001</v>
      </c>
      <c r="E385">
        <v>0.65633799999999998</v>
      </c>
      <c r="F385" t="s">
        <v>211</v>
      </c>
    </row>
    <row r="386" spans="1:6" x14ac:dyDescent="0.25">
      <c r="A386" t="s">
        <v>516</v>
      </c>
      <c r="B386">
        <v>1.274275</v>
      </c>
      <c r="C386">
        <v>-112.90600000000001</v>
      </c>
      <c r="D386">
        <v>-136.65299999999999</v>
      </c>
      <c r="E386">
        <v>0.65289299999999995</v>
      </c>
      <c r="F386" t="s">
        <v>19</v>
      </c>
    </row>
    <row r="387" spans="1:6" x14ac:dyDescent="0.25">
      <c r="A387" t="s">
        <v>517</v>
      </c>
      <c r="B387">
        <v>1.26997</v>
      </c>
      <c r="C387">
        <v>-112.901</v>
      </c>
      <c r="D387">
        <v>-136.13</v>
      </c>
      <c r="E387">
        <v>0.65202800000000005</v>
      </c>
      <c r="F387" t="s">
        <v>8</v>
      </c>
    </row>
    <row r="388" spans="1:6" x14ac:dyDescent="0.25">
      <c r="A388" t="s">
        <v>518</v>
      </c>
      <c r="B388">
        <v>1.301301</v>
      </c>
      <c r="C388">
        <v>-112.895</v>
      </c>
      <c r="D388">
        <v>-112.895</v>
      </c>
      <c r="E388">
        <v>0.66850900000000002</v>
      </c>
      <c r="F388" t="s">
        <v>57</v>
      </c>
    </row>
    <row r="389" spans="1:6" x14ac:dyDescent="0.25">
      <c r="A389" t="s">
        <v>519</v>
      </c>
      <c r="B389">
        <v>1.289194</v>
      </c>
      <c r="C389">
        <v>-112.884</v>
      </c>
      <c r="D389">
        <v>-112.884</v>
      </c>
      <c r="E389">
        <v>0.66019000000000005</v>
      </c>
      <c r="F389" t="s">
        <v>24</v>
      </c>
    </row>
    <row r="390" spans="1:6" x14ac:dyDescent="0.25">
      <c r="A390" t="s">
        <v>520</v>
      </c>
      <c r="B390">
        <v>1.2902480000000001</v>
      </c>
      <c r="C390">
        <v>-112.88</v>
      </c>
      <c r="D390">
        <v>-136.41200000000001</v>
      </c>
      <c r="E390">
        <v>0.66326200000000002</v>
      </c>
      <c r="F390" t="s">
        <v>22</v>
      </c>
    </row>
    <row r="391" spans="1:6" x14ac:dyDescent="0.25">
      <c r="A391" t="s">
        <v>521</v>
      </c>
      <c r="B391">
        <v>1.2653650000000001</v>
      </c>
      <c r="C391">
        <v>-112.873</v>
      </c>
      <c r="D391">
        <v>-135.98699999999999</v>
      </c>
      <c r="E391">
        <v>0.64939400000000003</v>
      </c>
      <c r="F391" t="s">
        <v>26</v>
      </c>
    </row>
    <row r="392" spans="1:6" x14ac:dyDescent="0.25">
      <c r="A392" t="s">
        <v>522</v>
      </c>
      <c r="B392">
        <v>1.2587219999999999</v>
      </c>
      <c r="C392">
        <v>-112.86799999999999</v>
      </c>
      <c r="D392">
        <v>-136.18299999999999</v>
      </c>
      <c r="E392">
        <v>0.64538899999999999</v>
      </c>
      <c r="F392" t="s">
        <v>22</v>
      </c>
    </row>
    <row r="393" spans="1:6" x14ac:dyDescent="0.25">
      <c r="A393" t="s">
        <v>523</v>
      </c>
      <c r="B393">
        <v>1.2530380000000001</v>
      </c>
      <c r="C393">
        <v>-112.81100000000001</v>
      </c>
      <c r="D393">
        <v>-138.46299999999999</v>
      </c>
      <c r="E393">
        <v>0.64160399999999995</v>
      </c>
      <c r="F393" t="s">
        <v>11</v>
      </c>
    </row>
    <row r="394" spans="1:6" x14ac:dyDescent="0.25">
      <c r="A394" t="s">
        <v>524</v>
      </c>
      <c r="B394">
        <v>1.3141750000000001</v>
      </c>
      <c r="C394">
        <v>-112.81</v>
      </c>
      <c r="D394">
        <v>-136.334</v>
      </c>
      <c r="E394">
        <v>0.67567200000000005</v>
      </c>
      <c r="F394" t="s">
        <v>13</v>
      </c>
    </row>
    <row r="395" spans="1:6" x14ac:dyDescent="0.25">
      <c r="A395" t="s">
        <v>525</v>
      </c>
      <c r="B395" t="s">
        <v>526</v>
      </c>
      <c r="C395">
        <f>-112.809 -108.473</f>
        <v>-221.28199999999998</v>
      </c>
      <c r="D395">
        <f>-137.082 -132</f>
        <v>-269.08199999999999</v>
      </c>
      <c r="E395" t="s">
        <v>527</v>
      </c>
      <c r="F395" t="s">
        <v>187</v>
      </c>
    </row>
    <row r="396" spans="1:6" x14ac:dyDescent="0.25">
      <c r="A396" t="s">
        <v>528</v>
      </c>
      <c r="B396" t="s">
        <v>529</v>
      </c>
      <c r="C396">
        <f>-112.804 -106.807</f>
        <v>-219.61099999999999</v>
      </c>
      <c r="D396">
        <f>-135.404 -106.807</f>
        <v>-242.21100000000001</v>
      </c>
      <c r="E396" t="s">
        <v>530</v>
      </c>
      <c r="F396" t="s">
        <v>369</v>
      </c>
    </row>
    <row r="397" spans="1:6" x14ac:dyDescent="0.25">
      <c r="A397" t="s">
        <v>531</v>
      </c>
      <c r="B397">
        <v>1.2823530000000001</v>
      </c>
      <c r="C397">
        <v>-112.786</v>
      </c>
      <c r="D397">
        <v>-137.572</v>
      </c>
      <c r="E397">
        <v>0.65664100000000003</v>
      </c>
      <c r="F397" t="s">
        <v>11</v>
      </c>
    </row>
    <row r="398" spans="1:6" x14ac:dyDescent="0.25">
      <c r="A398" t="s">
        <v>532</v>
      </c>
      <c r="B398">
        <v>1.300551</v>
      </c>
      <c r="C398">
        <v>-112.785</v>
      </c>
      <c r="D398">
        <v>-135.251</v>
      </c>
      <c r="E398">
        <v>0.66656599999999999</v>
      </c>
      <c r="F398" t="s">
        <v>13</v>
      </c>
    </row>
    <row r="399" spans="1:6" x14ac:dyDescent="0.25">
      <c r="A399" t="s">
        <v>533</v>
      </c>
      <c r="B399">
        <v>1.2519769999999999</v>
      </c>
      <c r="C399">
        <v>-112.755</v>
      </c>
      <c r="D399">
        <v>-112.755</v>
      </c>
      <c r="E399">
        <v>0.63912100000000005</v>
      </c>
      <c r="F399" t="s">
        <v>13</v>
      </c>
    </row>
    <row r="400" spans="1:6" x14ac:dyDescent="0.25">
      <c r="A400" t="s">
        <v>534</v>
      </c>
      <c r="B400" t="s">
        <v>535</v>
      </c>
      <c r="C400">
        <f>-112.752 -113.711</f>
        <v>-226.46299999999999</v>
      </c>
      <c r="D400">
        <f>-137.287 -139.481</f>
        <v>-276.76800000000003</v>
      </c>
      <c r="E400" t="s">
        <v>536</v>
      </c>
      <c r="F400" t="s">
        <v>87</v>
      </c>
    </row>
    <row r="401" spans="1:6" x14ac:dyDescent="0.25">
      <c r="A401" t="s">
        <v>537</v>
      </c>
      <c r="B401">
        <v>1.241217</v>
      </c>
      <c r="C401">
        <v>-112.744</v>
      </c>
      <c r="D401">
        <v>-136.547</v>
      </c>
      <c r="E401">
        <v>0.63502199999999998</v>
      </c>
      <c r="F401" t="s">
        <v>8</v>
      </c>
    </row>
    <row r="402" spans="1:6" x14ac:dyDescent="0.25">
      <c r="A402" t="s">
        <v>538</v>
      </c>
      <c r="B402">
        <v>1.2657639999999999</v>
      </c>
      <c r="C402">
        <v>-112.72199999999999</v>
      </c>
      <c r="D402">
        <v>-137.822</v>
      </c>
      <c r="E402">
        <v>0.64914300000000003</v>
      </c>
      <c r="F402" t="s">
        <v>57</v>
      </c>
    </row>
    <row r="403" spans="1:6" x14ac:dyDescent="0.25">
      <c r="A403" t="s">
        <v>539</v>
      </c>
      <c r="B403">
        <v>1.234156</v>
      </c>
      <c r="C403">
        <v>-112.705</v>
      </c>
      <c r="D403">
        <v>-136.19200000000001</v>
      </c>
      <c r="E403">
        <v>0.63262700000000005</v>
      </c>
      <c r="F403" t="s">
        <v>57</v>
      </c>
    </row>
    <row r="404" spans="1:6" x14ac:dyDescent="0.25">
      <c r="A404" t="s">
        <v>540</v>
      </c>
      <c r="B404">
        <v>1.292154</v>
      </c>
      <c r="C404">
        <v>-112.694</v>
      </c>
      <c r="D404">
        <v>-135.947</v>
      </c>
      <c r="E404">
        <v>0.66218399999999999</v>
      </c>
      <c r="F404" t="s">
        <v>26</v>
      </c>
    </row>
    <row r="405" spans="1:6" x14ac:dyDescent="0.25">
      <c r="A405" t="s">
        <v>541</v>
      </c>
      <c r="B405">
        <v>1.28653</v>
      </c>
      <c r="C405">
        <v>-112.68600000000001</v>
      </c>
      <c r="D405">
        <v>-136.233</v>
      </c>
      <c r="E405">
        <v>0.65986800000000001</v>
      </c>
      <c r="F405" t="s">
        <v>11</v>
      </c>
    </row>
    <row r="406" spans="1:6" x14ac:dyDescent="0.25">
      <c r="A406" t="s">
        <v>542</v>
      </c>
      <c r="B406">
        <v>1.266084</v>
      </c>
      <c r="C406">
        <v>-112.64700000000001</v>
      </c>
      <c r="D406">
        <v>-136.04900000000001</v>
      </c>
      <c r="E406">
        <v>0.65004399999999996</v>
      </c>
      <c r="F406" t="s">
        <v>13</v>
      </c>
    </row>
    <row r="407" spans="1:6" x14ac:dyDescent="0.25">
      <c r="A407" t="s">
        <v>543</v>
      </c>
      <c r="B407">
        <v>1.2779240000000001</v>
      </c>
      <c r="C407">
        <v>-112.622</v>
      </c>
      <c r="D407">
        <v>-135.33000000000001</v>
      </c>
      <c r="E407">
        <v>0.65490099999999996</v>
      </c>
      <c r="F407" t="s">
        <v>26</v>
      </c>
    </row>
    <row r="408" spans="1:6" x14ac:dyDescent="0.25">
      <c r="A408" t="s">
        <v>544</v>
      </c>
      <c r="B408">
        <v>1.266772</v>
      </c>
      <c r="C408">
        <v>-112.619</v>
      </c>
      <c r="D408">
        <v>-136.75299999999999</v>
      </c>
      <c r="E408">
        <v>0.64989200000000003</v>
      </c>
      <c r="F408" t="s">
        <v>26</v>
      </c>
    </row>
    <row r="409" spans="1:6" x14ac:dyDescent="0.25">
      <c r="A409" t="s">
        <v>545</v>
      </c>
      <c r="B409">
        <v>1.293587</v>
      </c>
      <c r="C409">
        <v>-112.613</v>
      </c>
      <c r="D409">
        <v>-135.88499999999999</v>
      </c>
      <c r="E409">
        <v>0.66239599999999998</v>
      </c>
      <c r="F409" t="s">
        <v>13</v>
      </c>
    </row>
    <row r="410" spans="1:6" x14ac:dyDescent="0.25">
      <c r="A410" t="s">
        <v>546</v>
      </c>
      <c r="B410">
        <v>1.2697419999999999</v>
      </c>
      <c r="C410">
        <v>-112.59399999999999</v>
      </c>
      <c r="D410">
        <v>-134.57599999999999</v>
      </c>
      <c r="E410">
        <v>0.65552699999999997</v>
      </c>
      <c r="F410" t="s">
        <v>26</v>
      </c>
    </row>
    <row r="411" spans="1:6" x14ac:dyDescent="0.25">
      <c r="A411" t="s">
        <v>547</v>
      </c>
      <c r="B411" t="s">
        <v>548</v>
      </c>
      <c r="C411">
        <f>-112.58 -113.187</f>
        <v>-225.767</v>
      </c>
      <c r="D411">
        <f>-136.101 -135.452</f>
        <v>-271.553</v>
      </c>
      <c r="E411" t="s">
        <v>549</v>
      </c>
      <c r="F411" t="s">
        <v>94</v>
      </c>
    </row>
    <row r="412" spans="1:6" x14ac:dyDescent="0.25">
      <c r="A412" t="s">
        <v>550</v>
      </c>
      <c r="B412">
        <v>1.2753460000000001</v>
      </c>
      <c r="C412">
        <v>-112.563</v>
      </c>
      <c r="D412">
        <v>-137.16</v>
      </c>
      <c r="E412">
        <v>0.65195999999999998</v>
      </c>
      <c r="F412" t="s">
        <v>13</v>
      </c>
    </row>
    <row r="413" spans="1:6" x14ac:dyDescent="0.25">
      <c r="A413" t="s">
        <v>551</v>
      </c>
      <c r="B413">
        <v>1.258969</v>
      </c>
      <c r="C413">
        <v>-112.554</v>
      </c>
      <c r="D413">
        <v>-112.554</v>
      </c>
      <c r="E413">
        <v>0.64442900000000003</v>
      </c>
      <c r="F413" t="s">
        <v>49</v>
      </c>
    </row>
    <row r="414" spans="1:6" x14ac:dyDescent="0.25">
      <c r="A414" t="s">
        <v>552</v>
      </c>
      <c r="B414">
        <v>1.210121</v>
      </c>
      <c r="C414">
        <v>-112.55200000000001</v>
      </c>
      <c r="D414">
        <v>-135.08699999999999</v>
      </c>
      <c r="E414">
        <v>0.61778100000000002</v>
      </c>
      <c r="F414" t="s">
        <v>13</v>
      </c>
    </row>
    <row r="415" spans="1:6" x14ac:dyDescent="0.25">
      <c r="A415" t="s">
        <v>553</v>
      </c>
      <c r="B415">
        <v>1.2864500000000001</v>
      </c>
      <c r="C415">
        <v>-112.54300000000001</v>
      </c>
      <c r="D415">
        <v>-135.13399999999999</v>
      </c>
      <c r="E415">
        <v>0.66084100000000001</v>
      </c>
      <c r="F415" t="s">
        <v>16</v>
      </c>
    </row>
    <row r="416" spans="1:6" x14ac:dyDescent="0.25">
      <c r="A416" t="s">
        <v>554</v>
      </c>
      <c r="B416">
        <v>1.268254</v>
      </c>
      <c r="C416">
        <v>-112.53</v>
      </c>
      <c r="D416">
        <v>-136.15700000000001</v>
      </c>
      <c r="E416">
        <v>0.65048300000000003</v>
      </c>
      <c r="F416" t="s">
        <v>13</v>
      </c>
    </row>
    <row r="417" spans="1:6" x14ac:dyDescent="0.25">
      <c r="A417" t="s">
        <v>555</v>
      </c>
      <c r="B417">
        <v>1.2979689999999999</v>
      </c>
      <c r="C417">
        <v>-112.526</v>
      </c>
      <c r="D417">
        <v>-135.995</v>
      </c>
      <c r="E417">
        <v>0.66770499999999999</v>
      </c>
      <c r="F417" t="s">
        <v>13</v>
      </c>
    </row>
    <row r="418" spans="1:6" x14ac:dyDescent="0.25">
      <c r="A418" t="s">
        <v>556</v>
      </c>
      <c r="B418">
        <v>1.2688410000000001</v>
      </c>
      <c r="C418">
        <v>-112.514</v>
      </c>
      <c r="D418">
        <v>-136.94999999999999</v>
      </c>
      <c r="E418">
        <v>0.65046999999999999</v>
      </c>
      <c r="F418" t="s">
        <v>24</v>
      </c>
    </row>
    <row r="419" spans="1:6" x14ac:dyDescent="0.25">
      <c r="A419" t="s">
        <v>557</v>
      </c>
      <c r="B419" t="s">
        <v>558</v>
      </c>
      <c r="C419">
        <f>-112.509 -107.464</f>
        <v>-219.97300000000001</v>
      </c>
      <c r="D419">
        <f>-136.512 -131.195</f>
        <v>-267.70699999999999</v>
      </c>
      <c r="E419" t="s">
        <v>559</v>
      </c>
      <c r="F419" t="s">
        <v>87</v>
      </c>
    </row>
    <row r="420" spans="1:6" x14ac:dyDescent="0.25">
      <c r="A420" t="s">
        <v>560</v>
      </c>
      <c r="B420" t="s">
        <v>561</v>
      </c>
      <c r="C420">
        <f>-112.507 -108.149</f>
        <v>-220.65600000000001</v>
      </c>
      <c r="D420">
        <f>-135.976 -108.149</f>
        <v>-244.125</v>
      </c>
      <c r="E420" t="s">
        <v>562</v>
      </c>
      <c r="F420" t="s">
        <v>87</v>
      </c>
    </row>
    <row r="421" spans="1:6" x14ac:dyDescent="0.25">
      <c r="A421" t="s">
        <v>563</v>
      </c>
      <c r="B421">
        <v>1.28501</v>
      </c>
      <c r="C421">
        <v>-112.498</v>
      </c>
      <c r="D421">
        <v>-136.51400000000001</v>
      </c>
      <c r="E421">
        <v>0.66166999999999998</v>
      </c>
      <c r="F421" t="s">
        <v>19</v>
      </c>
    </row>
    <row r="422" spans="1:6" x14ac:dyDescent="0.25">
      <c r="A422" t="s">
        <v>564</v>
      </c>
      <c r="B422">
        <v>1.2542180000000001</v>
      </c>
      <c r="C422">
        <v>-112.489</v>
      </c>
      <c r="D422">
        <v>-136.941</v>
      </c>
      <c r="E422">
        <v>0.64804600000000001</v>
      </c>
      <c r="F422" t="s">
        <v>194</v>
      </c>
    </row>
    <row r="423" spans="1:6" x14ac:dyDescent="0.25">
      <c r="A423" t="s">
        <v>565</v>
      </c>
      <c r="B423">
        <v>1.236388</v>
      </c>
      <c r="C423">
        <v>-112.464</v>
      </c>
      <c r="D423">
        <v>-135.232</v>
      </c>
      <c r="E423">
        <v>0.63334400000000002</v>
      </c>
      <c r="F423" t="s">
        <v>57</v>
      </c>
    </row>
    <row r="424" spans="1:6" x14ac:dyDescent="0.25">
      <c r="A424" t="s">
        <v>566</v>
      </c>
      <c r="B424">
        <v>1.2479359999999999</v>
      </c>
      <c r="C424">
        <v>-112.45099999999999</v>
      </c>
      <c r="D424">
        <v>-135.197</v>
      </c>
      <c r="E424">
        <v>0.64009700000000003</v>
      </c>
      <c r="F424" t="s">
        <v>26</v>
      </c>
    </row>
    <row r="425" spans="1:6" x14ac:dyDescent="0.25">
      <c r="A425" t="s">
        <v>567</v>
      </c>
      <c r="B425">
        <v>1.2840130000000001</v>
      </c>
      <c r="C425">
        <v>-112.441</v>
      </c>
      <c r="D425">
        <v>-137.197</v>
      </c>
      <c r="E425">
        <v>0.65989299999999995</v>
      </c>
      <c r="F425" t="s">
        <v>194</v>
      </c>
    </row>
    <row r="426" spans="1:6" x14ac:dyDescent="0.25">
      <c r="A426" t="s">
        <v>568</v>
      </c>
      <c r="B426">
        <v>1.285256</v>
      </c>
      <c r="C426">
        <v>-112.43600000000001</v>
      </c>
      <c r="D426">
        <v>-136.00399999999999</v>
      </c>
      <c r="E426">
        <v>0.66154800000000002</v>
      </c>
      <c r="F426" t="s">
        <v>19</v>
      </c>
    </row>
    <row r="427" spans="1:6" x14ac:dyDescent="0.25">
      <c r="A427" t="s">
        <v>569</v>
      </c>
      <c r="B427">
        <v>1.2664249999999999</v>
      </c>
      <c r="C427">
        <v>-112.43300000000001</v>
      </c>
      <c r="D427">
        <v>-136.24600000000001</v>
      </c>
      <c r="E427">
        <v>0.65049599999999996</v>
      </c>
      <c r="F427" t="s">
        <v>8</v>
      </c>
    </row>
    <row r="428" spans="1:6" x14ac:dyDescent="0.25">
      <c r="A428" t="s">
        <v>570</v>
      </c>
      <c r="B428">
        <v>1.299024</v>
      </c>
      <c r="C428">
        <v>-112.42100000000001</v>
      </c>
      <c r="D428">
        <v>-134.83000000000001</v>
      </c>
      <c r="E428">
        <v>0.66295700000000002</v>
      </c>
      <c r="F428" t="s">
        <v>26</v>
      </c>
    </row>
    <row r="429" spans="1:6" x14ac:dyDescent="0.25">
      <c r="A429" t="s">
        <v>571</v>
      </c>
      <c r="B429">
        <v>1.2418070000000001</v>
      </c>
      <c r="C429">
        <v>-112.42100000000001</v>
      </c>
      <c r="D429">
        <v>-134.86699999999999</v>
      </c>
      <c r="E429">
        <v>0.63788400000000001</v>
      </c>
      <c r="F429" t="s">
        <v>57</v>
      </c>
    </row>
    <row r="430" spans="1:6" x14ac:dyDescent="0.25">
      <c r="A430" t="s">
        <v>572</v>
      </c>
      <c r="B430">
        <v>1.2682500000000001</v>
      </c>
      <c r="C430">
        <v>-112.42100000000001</v>
      </c>
      <c r="D430">
        <v>-135.94300000000001</v>
      </c>
      <c r="E430">
        <v>0.64956499999999995</v>
      </c>
      <c r="F430" t="s">
        <v>57</v>
      </c>
    </row>
    <row r="431" spans="1:6" x14ac:dyDescent="0.25">
      <c r="A431" t="s">
        <v>573</v>
      </c>
      <c r="B431">
        <v>1.2532669999999999</v>
      </c>
      <c r="C431">
        <v>-112.398</v>
      </c>
      <c r="D431">
        <v>-140.178</v>
      </c>
      <c r="E431">
        <v>0.64276</v>
      </c>
      <c r="F431" t="s">
        <v>22</v>
      </c>
    </row>
    <row r="432" spans="1:6" x14ac:dyDescent="0.25">
      <c r="A432" t="s">
        <v>574</v>
      </c>
      <c r="B432">
        <v>1.257352</v>
      </c>
      <c r="C432">
        <v>-112.38200000000001</v>
      </c>
      <c r="D432">
        <v>-137.04499999999999</v>
      </c>
      <c r="E432">
        <v>0.64320100000000002</v>
      </c>
      <c r="F432" t="s">
        <v>11</v>
      </c>
    </row>
    <row r="433" spans="1:6" x14ac:dyDescent="0.25">
      <c r="A433" t="s">
        <v>575</v>
      </c>
      <c r="B433">
        <v>1.2346820000000001</v>
      </c>
      <c r="C433">
        <v>-112.378</v>
      </c>
      <c r="D433">
        <v>-135.47</v>
      </c>
      <c r="E433">
        <v>0.63158999999999998</v>
      </c>
      <c r="F433" t="s">
        <v>24</v>
      </c>
    </row>
    <row r="434" spans="1:6" x14ac:dyDescent="0.25">
      <c r="A434" t="s">
        <v>576</v>
      </c>
      <c r="B434">
        <v>1.2970950000000001</v>
      </c>
      <c r="C434">
        <v>-112.376</v>
      </c>
      <c r="D434">
        <v>-134.71199999999999</v>
      </c>
      <c r="E434">
        <v>0.665605</v>
      </c>
      <c r="F434" t="s">
        <v>26</v>
      </c>
    </row>
    <row r="435" spans="1:6" x14ac:dyDescent="0.25">
      <c r="A435" t="s">
        <v>577</v>
      </c>
      <c r="B435" t="s">
        <v>578</v>
      </c>
      <c r="C435">
        <f>-112.348 -109.178</f>
        <v>-221.52600000000001</v>
      </c>
      <c r="D435">
        <f>-135.976 -134.241</f>
        <v>-270.21699999999998</v>
      </c>
      <c r="E435" t="s">
        <v>579</v>
      </c>
      <c r="F435" t="s">
        <v>31</v>
      </c>
    </row>
    <row r="436" spans="1:6" x14ac:dyDescent="0.25">
      <c r="A436" t="s">
        <v>580</v>
      </c>
      <c r="B436">
        <v>1.261946</v>
      </c>
      <c r="C436">
        <v>-112.318</v>
      </c>
      <c r="D436">
        <v>-138.755</v>
      </c>
      <c r="E436">
        <v>0.64812499999999995</v>
      </c>
      <c r="F436" t="s">
        <v>13</v>
      </c>
    </row>
    <row r="437" spans="1:6" x14ac:dyDescent="0.25">
      <c r="A437" t="s">
        <v>581</v>
      </c>
      <c r="B437">
        <v>1.2529380000000001</v>
      </c>
      <c r="C437">
        <v>-112.29900000000001</v>
      </c>
      <c r="D437">
        <v>-137.67599999999999</v>
      </c>
      <c r="E437">
        <v>0.64419099999999996</v>
      </c>
      <c r="F437" t="s">
        <v>22</v>
      </c>
    </row>
    <row r="438" spans="1:6" x14ac:dyDescent="0.25">
      <c r="A438" t="s">
        <v>582</v>
      </c>
      <c r="B438">
        <v>1.273638</v>
      </c>
      <c r="C438">
        <v>-112.286</v>
      </c>
      <c r="D438">
        <v>-112.286</v>
      </c>
      <c r="E438">
        <v>0.65383999999999998</v>
      </c>
      <c r="F438" t="s">
        <v>22</v>
      </c>
    </row>
    <row r="439" spans="1:6" x14ac:dyDescent="0.25">
      <c r="A439" t="s">
        <v>583</v>
      </c>
      <c r="B439" t="s">
        <v>584</v>
      </c>
      <c r="C439">
        <f>-112.275 -106.192</f>
        <v>-218.46699999999998</v>
      </c>
      <c r="D439">
        <f>-136.141 -130.311</f>
        <v>-266.452</v>
      </c>
      <c r="E439" t="s">
        <v>585</v>
      </c>
      <c r="F439" t="s">
        <v>187</v>
      </c>
    </row>
    <row r="440" spans="1:6" x14ac:dyDescent="0.25">
      <c r="A440" t="s">
        <v>586</v>
      </c>
      <c r="B440">
        <v>1.2775209999999999</v>
      </c>
      <c r="C440">
        <v>-112.27500000000001</v>
      </c>
      <c r="D440">
        <v>-135.631</v>
      </c>
      <c r="E440">
        <v>0.65523699999999996</v>
      </c>
      <c r="F440" t="s">
        <v>57</v>
      </c>
    </row>
    <row r="441" spans="1:6" x14ac:dyDescent="0.25">
      <c r="A441" t="s">
        <v>587</v>
      </c>
      <c r="B441">
        <v>1.2905979999999999</v>
      </c>
      <c r="C441">
        <v>-112.27200000000001</v>
      </c>
      <c r="D441">
        <v>-135.85499999999999</v>
      </c>
      <c r="E441">
        <v>0.66351199999999999</v>
      </c>
      <c r="F441" t="s">
        <v>8</v>
      </c>
    </row>
    <row r="442" spans="1:6" x14ac:dyDescent="0.25">
      <c r="A442" t="s">
        <v>588</v>
      </c>
      <c r="B442">
        <v>1.2740400000000001</v>
      </c>
      <c r="C442">
        <v>-112.26600000000001</v>
      </c>
      <c r="D442">
        <v>-137.81</v>
      </c>
      <c r="E442">
        <v>0.65391100000000002</v>
      </c>
      <c r="F442" t="s">
        <v>22</v>
      </c>
    </row>
    <row r="443" spans="1:6" x14ac:dyDescent="0.25">
      <c r="A443" t="s">
        <v>589</v>
      </c>
      <c r="B443">
        <v>1.2734490000000001</v>
      </c>
      <c r="C443">
        <v>-112.26</v>
      </c>
      <c r="D443">
        <v>-136.80000000000001</v>
      </c>
      <c r="E443">
        <v>0.65117199999999997</v>
      </c>
      <c r="F443" t="s">
        <v>401</v>
      </c>
    </row>
    <row r="444" spans="1:6" x14ac:dyDescent="0.25">
      <c r="A444" t="s">
        <v>590</v>
      </c>
      <c r="B444">
        <v>1.3184689999999999</v>
      </c>
      <c r="C444">
        <v>-112.251</v>
      </c>
      <c r="D444">
        <v>-112.251</v>
      </c>
      <c r="E444">
        <v>0.67798999999999998</v>
      </c>
      <c r="F444" t="s">
        <v>591</v>
      </c>
    </row>
    <row r="445" spans="1:6" x14ac:dyDescent="0.25">
      <c r="A445" t="s">
        <v>592</v>
      </c>
      <c r="B445">
        <v>1.308519</v>
      </c>
      <c r="C445">
        <v>-112.233</v>
      </c>
      <c r="D445">
        <v>-135.53399999999999</v>
      </c>
      <c r="E445">
        <v>0.67233699999999996</v>
      </c>
      <c r="F445" t="s">
        <v>13</v>
      </c>
    </row>
    <row r="446" spans="1:6" x14ac:dyDescent="0.25">
      <c r="A446" t="s">
        <v>593</v>
      </c>
      <c r="B446">
        <v>1.2630699999999999</v>
      </c>
      <c r="C446">
        <v>-112.23</v>
      </c>
      <c r="D446">
        <v>-135.89099999999999</v>
      </c>
      <c r="E446">
        <v>0.64779399999999998</v>
      </c>
      <c r="F446" t="s">
        <v>13</v>
      </c>
    </row>
    <row r="447" spans="1:6" x14ac:dyDescent="0.25">
      <c r="A447" t="s">
        <v>594</v>
      </c>
      <c r="B447">
        <v>1.27077</v>
      </c>
      <c r="C447">
        <v>-112.215</v>
      </c>
      <c r="D447">
        <v>-136.738</v>
      </c>
      <c r="E447">
        <v>0.65334199999999998</v>
      </c>
      <c r="F447" t="s">
        <v>13</v>
      </c>
    </row>
    <row r="448" spans="1:6" x14ac:dyDescent="0.25">
      <c r="A448" t="s">
        <v>595</v>
      </c>
      <c r="B448">
        <v>1.2578609999999999</v>
      </c>
      <c r="C448">
        <v>-112.176</v>
      </c>
      <c r="D448">
        <v>-135.27199999999999</v>
      </c>
      <c r="E448">
        <v>0.64659699999999998</v>
      </c>
      <c r="F448" t="s">
        <v>26</v>
      </c>
    </row>
    <row r="449" spans="1:6" x14ac:dyDescent="0.25">
      <c r="A449" t="s">
        <v>596</v>
      </c>
      <c r="B449">
        <v>1.2464789999999999</v>
      </c>
      <c r="C449">
        <v>-112.175</v>
      </c>
      <c r="D449">
        <v>-136.929</v>
      </c>
      <c r="E449">
        <v>0.63797400000000004</v>
      </c>
      <c r="F449" t="s">
        <v>13</v>
      </c>
    </row>
    <row r="450" spans="1:6" x14ac:dyDescent="0.25">
      <c r="A450" t="s">
        <v>597</v>
      </c>
      <c r="B450">
        <v>1.287439</v>
      </c>
      <c r="C450">
        <v>-112.173</v>
      </c>
      <c r="D450">
        <v>-112.173</v>
      </c>
      <c r="E450">
        <v>0.66043499999999999</v>
      </c>
      <c r="F450" t="s">
        <v>24</v>
      </c>
    </row>
    <row r="451" spans="1:6" x14ac:dyDescent="0.25">
      <c r="A451" t="s">
        <v>598</v>
      </c>
      <c r="B451">
        <v>1.2873079999999999</v>
      </c>
      <c r="C451">
        <v>-112.17100000000001</v>
      </c>
      <c r="D451">
        <v>-136.19</v>
      </c>
      <c r="E451">
        <v>0.66106299999999996</v>
      </c>
      <c r="F451" t="s">
        <v>13</v>
      </c>
    </row>
    <row r="452" spans="1:6" x14ac:dyDescent="0.25">
      <c r="A452" t="s">
        <v>599</v>
      </c>
      <c r="B452">
        <v>1.254291</v>
      </c>
      <c r="C452">
        <v>-112.17</v>
      </c>
      <c r="D452">
        <v>-112.17</v>
      </c>
      <c r="E452">
        <v>0.64101399999999997</v>
      </c>
      <c r="F452" t="s">
        <v>201</v>
      </c>
    </row>
    <row r="453" spans="1:6" x14ac:dyDescent="0.25">
      <c r="A453" t="s">
        <v>600</v>
      </c>
      <c r="B453">
        <v>1.237865</v>
      </c>
      <c r="C453">
        <v>-112.17</v>
      </c>
      <c r="D453">
        <v>-112.17</v>
      </c>
      <c r="E453">
        <v>0.63517299999999999</v>
      </c>
      <c r="F453" t="s">
        <v>57</v>
      </c>
    </row>
    <row r="454" spans="1:6" x14ac:dyDescent="0.25">
      <c r="A454" t="s">
        <v>601</v>
      </c>
      <c r="B454">
        <v>1.236942</v>
      </c>
      <c r="C454">
        <v>-112.158</v>
      </c>
      <c r="D454">
        <v>-135.727</v>
      </c>
      <c r="E454">
        <v>0.63757200000000003</v>
      </c>
      <c r="F454" t="s">
        <v>140</v>
      </c>
    </row>
    <row r="455" spans="1:6" x14ac:dyDescent="0.25">
      <c r="A455" t="s">
        <v>602</v>
      </c>
      <c r="B455">
        <v>1.289566</v>
      </c>
      <c r="C455">
        <v>-112.151</v>
      </c>
      <c r="D455">
        <v>-138.161</v>
      </c>
      <c r="E455">
        <v>0.66188499999999995</v>
      </c>
      <c r="F455" t="s">
        <v>194</v>
      </c>
    </row>
    <row r="456" spans="1:6" x14ac:dyDescent="0.25">
      <c r="A456" t="s">
        <v>603</v>
      </c>
      <c r="B456">
        <v>1.2314419999999999</v>
      </c>
      <c r="C456">
        <v>-112.148</v>
      </c>
      <c r="D456">
        <v>-135.97300000000001</v>
      </c>
      <c r="E456">
        <v>0.63199399999999994</v>
      </c>
      <c r="F456" t="s">
        <v>69</v>
      </c>
    </row>
    <row r="457" spans="1:6" x14ac:dyDescent="0.25">
      <c r="A457" t="s">
        <v>604</v>
      </c>
      <c r="B457">
        <v>1.319715</v>
      </c>
      <c r="C457">
        <v>-112.14700000000001</v>
      </c>
      <c r="D457">
        <v>-133.988</v>
      </c>
      <c r="E457">
        <v>0.67690099999999997</v>
      </c>
      <c r="F457" t="s">
        <v>26</v>
      </c>
    </row>
    <row r="458" spans="1:6" x14ac:dyDescent="0.25">
      <c r="A458" t="s">
        <v>605</v>
      </c>
      <c r="B458">
        <v>1.2960480000000001</v>
      </c>
      <c r="C458">
        <v>-112.14100000000001</v>
      </c>
      <c r="D458">
        <v>-135.256</v>
      </c>
      <c r="E458">
        <v>0.66447500000000004</v>
      </c>
      <c r="F458" t="s">
        <v>13</v>
      </c>
    </row>
    <row r="459" spans="1:6" x14ac:dyDescent="0.25">
      <c r="A459" t="s">
        <v>606</v>
      </c>
      <c r="B459">
        <v>1.3072090000000001</v>
      </c>
      <c r="C459">
        <v>-112.133</v>
      </c>
      <c r="D459">
        <v>-112.133</v>
      </c>
      <c r="E459">
        <v>0.67416100000000001</v>
      </c>
      <c r="F459" t="s">
        <v>69</v>
      </c>
    </row>
    <row r="460" spans="1:6" x14ac:dyDescent="0.25">
      <c r="A460" t="s">
        <v>607</v>
      </c>
      <c r="B460">
        <v>1.2396830000000001</v>
      </c>
      <c r="C460">
        <v>-112.133</v>
      </c>
      <c r="D460">
        <v>-137.017</v>
      </c>
      <c r="E460">
        <v>0.63566500000000004</v>
      </c>
      <c r="F460" t="s">
        <v>8</v>
      </c>
    </row>
    <row r="461" spans="1:6" x14ac:dyDescent="0.25">
      <c r="A461" t="s">
        <v>608</v>
      </c>
      <c r="B461">
        <v>1.271925</v>
      </c>
      <c r="C461">
        <v>-112.126</v>
      </c>
      <c r="D461">
        <v>-134.78200000000001</v>
      </c>
      <c r="E461">
        <v>0.65059900000000004</v>
      </c>
      <c r="F461" t="s">
        <v>13</v>
      </c>
    </row>
    <row r="462" spans="1:6" x14ac:dyDescent="0.25">
      <c r="A462" t="s">
        <v>609</v>
      </c>
      <c r="B462">
        <v>1.27766</v>
      </c>
      <c r="C462">
        <v>-112.101</v>
      </c>
      <c r="D462">
        <v>-134.887</v>
      </c>
      <c r="E462">
        <v>0.65175799999999995</v>
      </c>
      <c r="F462" t="s">
        <v>13</v>
      </c>
    </row>
    <row r="463" spans="1:6" x14ac:dyDescent="0.25">
      <c r="A463" t="s">
        <v>610</v>
      </c>
      <c r="B463">
        <v>1.2879910000000001</v>
      </c>
      <c r="C463">
        <v>-112.098</v>
      </c>
      <c r="D463">
        <v>-135.82900000000001</v>
      </c>
      <c r="E463">
        <v>0.66059299999999999</v>
      </c>
      <c r="F463" t="s">
        <v>19</v>
      </c>
    </row>
    <row r="464" spans="1:6" x14ac:dyDescent="0.25">
      <c r="A464" t="s">
        <v>611</v>
      </c>
      <c r="B464" t="s">
        <v>612</v>
      </c>
      <c r="C464">
        <f>-112.092 -111.07</f>
        <v>-223.16199999999998</v>
      </c>
      <c r="D464">
        <f>-136.646 -135.031</f>
        <v>-271.67700000000002</v>
      </c>
      <c r="E464" t="s">
        <v>613</v>
      </c>
      <c r="F464" t="s">
        <v>77</v>
      </c>
    </row>
    <row r="465" spans="1:6" x14ac:dyDescent="0.25">
      <c r="A465" t="s">
        <v>614</v>
      </c>
      <c r="B465">
        <v>1.2674589999999999</v>
      </c>
      <c r="C465">
        <v>-112.09</v>
      </c>
      <c r="D465">
        <v>-136.68199999999999</v>
      </c>
      <c r="E465">
        <v>0.65279299999999996</v>
      </c>
      <c r="F465" t="s">
        <v>24</v>
      </c>
    </row>
    <row r="466" spans="1:6" x14ac:dyDescent="0.25">
      <c r="A466" t="s">
        <v>615</v>
      </c>
      <c r="B466">
        <v>1.2836939999999999</v>
      </c>
      <c r="C466">
        <v>-112.08499999999999</v>
      </c>
      <c r="D466">
        <v>-134.649</v>
      </c>
      <c r="E466">
        <v>0.65773300000000001</v>
      </c>
      <c r="F466" t="s">
        <v>57</v>
      </c>
    </row>
    <row r="467" spans="1:6" x14ac:dyDescent="0.25">
      <c r="A467" t="s">
        <v>616</v>
      </c>
      <c r="B467">
        <v>1.2664329999999999</v>
      </c>
      <c r="C467">
        <v>-112.08199999999999</v>
      </c>
      <c r="D467">
        <v>-136.136</v>
      </c>
      <c r="E467">
        <v>0.65150799999999998</v>
      </c>
      <c r="F467" t="s">
        <v>69</v>
      </c>
    </row>
    <row r="468" spans="1:6" x14ac:dyDescent="0.25">
      <c r="A468" t="s">
        <v>617</v>
      </c>
      <c r="B468">
        <v>1.2819240000000001</v>
      </c>
      <c r="C468">
        <v>-112.077</v>
      </c>
      <c r="D468">
        <v>-135.81100000000001</v>
      </c>
      <c r="E468">
        <v>0.65813500000000003</v>
      </c>
      <c r="F468" t="s">
        <v>140</v>
      </c>
    </row>
    <row r="469" spans="1:6" x14ac:dyDescent="0.25">
      <c r="A469" t="s">
        <v>618</v>
      </c>
      <c r="B469">
        <v>1.2955559999999999</v>
      </c>
      <c r="C469">
        <v>-112.074</v>
      </c>
      <c r="D469">
        <v>-142.81800000000001</v>
      </c>
      <c r="E469">
        <v>0.66432800000000003</v>
      </c>
      <c r="F469" t="s">
        <v>11</v>
      </c>
    </row>
    <row r="470" spans="1:6" x14ac:dyDescent="0.25">
      <c r="A470" t="s">
        <v>619</v>
      </c>
      <c r="B470">
        <v>1.25773</v>
      </c>
      <c r="C470">
        <v>-112.06399999999999</v>
      </c>
      <c r="D470">
        <v>-136.517</v>
      </c>
      <c r="E470">
        <v>0.64150099999999999</v>
      </c>
      <c r="F470" t="s">
        <v>24</v>
      </c>
    </row>
    <row r="471" spans="1:6" x14ac:dyDescent="0.25">
      <c r="A471" t="s">
        <v>620</v>
      </c>
      <c r="B471">
        <v>1.300343</v>
      </c>
      <c r="C471">
        <v>-112.054</v>
      </c>
      <c r="D471">
        <v>-135.74600000000001</v>
      </c>
      <c r="E471">
        <v>0.66826799999999997</v>
      </c>
      <c r="F471" t="s">
        <v>22</v>
      </c>
    </row>
    <row r="472" spans="1:6" x14ac:dyDescent="0.25">
      <c r="A472" t="s">
        <v>621</v>
      </c>
      <c r="B472" t="s">
        <v>622</v>
      </c>
      <c r="C472">
        <f>-112.052 -108.596</f>
        <v>-220.64800000000002</v>
      </c>
      <c r="D472">
        <f>-137.985 -131.667</f>
        <v>-269.65200000000004</v>
      </c>
      <c r="E472" t="s">
        <v>623</v>
      </c>
      <c r="F472" t="s">
        <v>31</v>
      </c>
    </row>
    <row r="473" spans="1:6" x14ac:dyDescent="0.25">
      <c r="A473" t="s">
        <v>624</v>
      </c>
      <c r="B473">
        <v>1.2774700000000001</v>
      </c>
      <c r="C473">
        <v>-112.04900000000001</v>
      </c>
      <c r="D473">
        <v>-135.14099999999999</v>
      </c>
      <c r="E473">
        <v>0.65648600000000001</v>
      </c>
      <c r="F473" t="s">
        <v>13</v>
      </c>
    </row>
    <row r="474" spans="1:6" x14ac:dyDescent="0.25">
      <c r="A474" t="s">
        <v>625</v>
      </c>
      <c r="B474">
        <v>1.2687949999999999</v>
      </c>
      <c r="C474">
        <v>-112.047</v>
      </c>
      <c r="D474">
        <v>-136.84200000000001</v>
      </c>
      <c r="E474">
        <v>0.65060399999999996</v>
      </c>
      <c r="F474" t="s">
        <v>11</v>
      </c>
    </row>
    <row r="475" spans="1:6" x14ac:dyDescent="0.25">
      <c r="A475" t="s">
        <v>626</v>
      </c>
      <c r="B475">
        <v>1.2431700000000001</v>
      </c>
      <c r="C475">
        <v>-112.044</v>
      </c>
      <c r="D475">
        <v>-139.45599999999999</v>
      </c>
      <c r="E475">
        <v>0.63643799999999995</v>
      </c>
      <c r="F475" t="s">
        <v>144</v>
      </c>
    </row>
    <row r="476" spans="1:6" x14ac:dyDescent="0.25">
      <c r="A476" t="s">
        <v>627</v>
      </c>
      <c r="B476">
        <v>1.286945</v>
      </c>
      <c r="C476">
        <v>-112.041</v>
      </c>
      <c r="D476">
        <v>-134.148</v>
      </c>
      <c r="E476">
        <v>0.65825699999999998</v>
      </c>
      <c r="F476" t="s">
        <v>13</v>
      </c>
    </row>
    <row r="477" spans="1:6" x14ac:dyDescent="0.25">
      <c r="A477" t="s">
        <v>628</v>
      </c>
      <c r="B477">
        <v>1.2582960000000001</v>
      </c>
      <c r="C477">
        <v>-112.02500000000001</v>
      </c>
      <c r="D477">
        <v>-134.41</v>
      </c>
      <c r="E477">
        <v>0.64362699999999995</v>
      </c>
      <c r="F477" t="s">
        <v>26</v>
      </c>
    </row>
    <row r="478" spans="1:6" x14ac:dyDescent="0.25">
      <c r="A478" t="s">
        <v>629</v>
      </c>
      <c r="B478">
        <v>1.2654259999999999</v>
      </c>
      <c r="C478">
        <v>-112.02500000000001</v>
      </c>
      <c r="D478">
        <v>-146.352</v>
      </c>
      <c r="E478">
        <v>0.64928699999999995</v>
      </c>
      <c r="F478" t="s">
        <v>57</v>
      </c>
    </row>
    <row r="479" spans="1:6" x14ac:dyDescent="0.25">
      <c r="A479" t="s">
        <v>630</v>
      </c>
      <c r="B479">
        <v>1.274167</v>
      </c>
      <c r="C479">
        <v>-112.012</v>
      </c>
      <c r="D479">
        <v>-137.523</v>
      </c>
      <c r="E479">
        <v>0.65462600000000004</v>
      </c>
      <c r="F479" t="s">
        <v>13</v>
      </c>
    </row>
    <row r="480" spans="1:6" x14ac:dyDescent="0.25">
      <c r="A480" t="s">
        <v>631</v>
      </c>
      <c r="B480" t="s">
        <v>632</v>
      </c>
      <c r="C480">
        <f>-112.008 -111.489</f>
        <v>-223.49700000000001</v>
      </c>
      <c r="D480">
        <f>-136.979 -134.969</f>
        <v>-271.94799999999998</v>
      </c>
      <c r="E480" t="s">
        <v>633</v>
      </c>
      <c r="F480" t="s">
        <v>87</v>
      </c>
    </row>
    <row r="481" spans="1:6" x14ac:dyDescent="0.25">
      <c r="A481" t="s">
        <v>634</v>
      </c>
      <c r="B481">
        <v>1.213738</v>
      </c>
      <c r="C481">
        <v>-112.006</v>
      </c>
      <c r="D481">
        <v>-135.971</v>
      </c>
      <c r="E481">
        <v>0.62273599999999996</v>
      </c>
      <c r="F481" t="s">
        <v>24</v>
      </c>
    </row>
    <row r="482" spans="1:6" x14ac:dyDescent="0.25">
      <c r="A482" t="s">
        <v>635</v>
      </c>
      <c r="B482">
        <v>1.2656940000000001</v>
      </c>
      <c r="C482">
        <v>-112</v>
      </c>
      <c r="D482">
        <v>-134.96299999999999</v>
      </c>
      <c r="E482">
        <v>0.65021499999999999</v>
      </c>
      <c r="F482" t="s">
        <v>26</v>
      </c>
    </row>
    <row r="483" spans="1:6" x14ac:dyDescent="0.25">
      <c r="A483" t="s">
        <v>636</v>
      </c>
      <c r="B483">
        <v>1.3188</v>
      </c>
      <c r="C483">
        <v>-111.982</v>
      </c>
      <c r="D483">
        <v>-111.982</v>
      </c>
      <c r="E483">
        <v>0.678087</v>
      </c>
      <c r="F483" t="s">
        <v>591</v>
      </c>
    </row>
    <row r="484" spans="1:6" x14ac:dyDescent="0.25">
      <c r="A484" t="s">
        <v>637</v>
      </c>
      <c r="B484">
        <v>1.2696080000000001</v>
      </c>
      <c r="C484">
        <v>-111.979</v>
      </c>
      <c r="D484">
        <v>-134.87899999999999</v>
      </c>
      <c r="E484">
        <v>0.64983500000000005</v>
      </c>
      <c r="F484" t="s">
        <v>26</v>
      </c>
    </row>
    <row r="485" spans="1:6" x14ac:dyDescent="0.25">
      <c r="A485" t="s">
        <v>638</v>
      </c>
      <c r="B485">
        <v>1.252556</v>
      </c>
      <c r="C485">
        <v>-111.96599999999999</v>
      </c>
      <c r="D485">
        <v>-111.96599999999999</v>
      </c>
      <c r="E485">
        <v>0.64370400000000005</v>
      </c>
      <c r="F485" t="s">
        <v>11</v>
      </c>
    </row>
    <row r="486" spans="1:6" x14ac:dyDescent="0.25">
      <c r="A486" t="s">
        <v>639</v>
      </c>
      <c r="B486">
        <v>1.269409</v>
      </c>
      <c r="C486">
        <v>-111.946</v>
      </c>
      <c r="D486">
        <v>-136.357</v>
      </c>
      <c r="E486">
        <v>0.65026300000000004</v>
      </c>
      <c r="F486" t="s">
        <v>13</v>
      </c>
    </row>
    <row r="487" spans="1:6" x14ac:dyDescent="0.25">
      <c r="A487" t="s">
        <v>640</v>
      </c>
      <c r="B487">
        <v>1.257212</v>
      </c>
      <c r="C487">
        <v>-111.94</v>
      </c>
      <c r="D487">
        <v>-136.12799999999999</v>
      </c>
      <c r="E487">
        <v>0.64590099999999995</v>
      </c>
      <c r="F487" t="s">
        <v>49</v>
      </c>
    </row>
    <row r="488" spans="1:6" x14ac:dyDescent="0.25">
      <c r="A488" t="s">
        <v>641</v>
      </c>
      <c r="B488" t="s">
        <v>642</v>
      </c>
      <c r="C488">
        <f>-111.924 -113.752</f>
        <v>-225.67599999999999</v>
      </c>
      <c r="D488">
        <f>-135.286 -137.786</f>
        <v>-273.072</v>
      </c>
      <c r="E488" t="s">
        <v>643</v>
      </c>
      <c r="F488" t="s">
        <v>53</v>
      </c>
    </row>
    <row r="489" spans="1:6" x14ac:dyDescent="0.25">
      <c r="A489" t="s">
        <v>644</v>
      </c>
      <c r="B489">
        <v>1.2756639999999999</v>
      </c>
      <c r="C489">
        <v>-111.92100000000001</v>
      </c>
      <c r="D489">
        <v>-111.92100000000001</v>
      </c>
      <c r="E489">
        <v>0.65418399999999999</v>
      </c>
      <c r="F489" t="s">
        <v>211</v>
      </c>
    </row>
    <row r="490" spans="1:6" x14ac:dyDescent="0.25">
      <c r="A490" t="s">
        <v>645</v>
      </c>
      <c r="B490">
        <v>1.2654669999999999</v>
      </c>
      <c r="C490">
        <v>-111.837</v>
      </c>
      <c r="D490">
        <v>-136.12100000000001</v>
      </c>
      <c r="E490">
        <v>0.64990000000000003</v>
      </c>
      <c r="F490" t="s">
        <v>11</v>
      </c>
    </row>
    <row r="491" spans="1:6" x14ac:dyDescent="0.25">
      <c r="A491" t="s">
        <v>646</v>
      </c>
      <c r="B491">
        <v>1.2153989999999999</v>
      </c>
      <c r="C491">
        <v>-111.83199999999999</v>
      </c>
      <c r="D491">
        <v>-137.01900000000001</v>
      </c>
      <c r="E491">
        <v>0.62194300000000002</v>
      </c>
      <c r="F491" t="s">
        <v>22</v>
      </c>
    </row>
    <row r="492" spans="1:6" x14ac:dyDescent="0.25">
      <c r="A492" t="s">
        <v>647</v>
      </c>
      <c r="B492">
        <v>1.2676639999999999</v>
      </c>
      <c r="C492">
        <v>-111.82</v>
      </c>
      <c r="D492">
        <v>-111.82</v>
      </c>
      <c r="E492">
        <v>0.648366</v>
      </c>
      <c r="F492" t="s">
        <v>11</v>
      </c>
    </row>
    <row r="493" spans="1:6" x14ac:dyDescent="0.25">
      <c r="A493" t="s">
        <v>648</v>
      </c>
      <c r="B493">
        <v>1.254094</v>
      </c>
      <c r="C493">
        <v>-111.818</v>
      </c>
      <c r="D493">
        <v>-136.44200000000001</v>
      </c>
      <c r="E493">
        <v>0.642702</v>
      </c>
      <c r="F493" t="s">
        <v>13</v>
      </c>
    </row>
    <row r="494" spans="1:6" x14ac:dyDescent="0.25">
      <c r="A494" t="s">
        <v>649</v>
      </c>
      <c r="B494" t="s">
        <v>650</v>
      </c>
      <c r="C494">
        <f>-111.782 -107.516</f>
        <v>-219.298</v>
      </c>
      <c r="D494">
        <f>-135.463 -129.348</f>
        <v>-264.81100000000004</v>
      </c>
      <c r="E494" t="s">
        <v>651</v>
      </c>
      <c r="F494" t="s">
        <v>31</v>
      </c>
    </row>
    <row r="495" spans="1:6" x14ac:dyDescent="0.25">
      <c r="A495" t="s">
        <v>652</v>
      </c>
      <c r="B495" t="s">
        <v>653</v>
      </c>
      <c r="C495">
        <f>-111.748 -109.009</f>
        <v>-220.75700000000001</v>
      </c>
      <c r="D495">
        <f>-136.56 -130.639</f>
        <v>-267.19900000000001</v>
      </c>
      <c r="E495" t="s">
        <v>654</v>
      </c>
      <c r="F495" t="s">
        <v>94</v>
      </c>
    </row>
    <row r="496" spans="1:6" x14ac:dyDescent="0.25">
      <c r="A496" t="s">
        <v>655</v>
      </c>
      <c r="B496">
        <v>1.2669189999999999</v>
      </c>
      <c r="C496">
        <v>-111.741</v>
      </c>
      <c r="D496">
        <v>-135.79599999999999</v>
      </c>
      <c r="E496">
        <v>0.65289299999999995</v>
      </c>
      <c r="F496" t="s">
        <v>26</v>
      </c>
    </row>
    <row r="497" spans="1:6" x14ac:dyDescent="0.25">
      <c r="A497" t="s">
        <v>656</v>
      </c>
      <c r="B497">
        <v>1.2623800000000001</v>
      </c>
      <c r="C497">
        <v>-111.73099999999999</v>
      </c>
      <c r="D497">
        <v>-111.73099999999999</v>
      </c>
      <c r="E497">
        <v>0.64738899999999999</v>
      </c>
      <c r="F497" t="s">
        <v>201</v>
      </c>
    </row>
    <row r="498" spans="1:6" x14ac:dyDescent="0.25">
      <c r="A498" t="s">
        <v>657</v>
      </c>
      <c r="B498">
        <v>1.2519670000000001</v>
      </c>
      <c r="C498">
        <v>-111.72799999999999</v>
      </c>
      <c r="D498">
        <v>-136.63300000000001</v>
      </c>
      <c r="E498">
        <v>0.64333399999999996</v>
      </c>
      <c r="F498" t="s">
        <v>22</v>
      </c>
    </row>
    <row r="499" spans="1:6" x14ac:dyDescent="0.25">
      <c r="A499" t="s">
        <v>658</v>
      </c>
      <c r="B499">
        <v>1.1944650000000001</v>
      </c>
      <c r="C499">
        <v>-111.721</v>
      </c>
      <c r="D499">
        <v>-135.327</v>
      </c>
      <c r="E499">
        <v>0.61000500000000002</v>
      </c>
      <c r="F499" t="s">
        <v>22</v>
      </c>
    </row>
    <row r="500" spans="1:6" x14ac:dyDescent="0.25">
      <c r="A500" t="s">
        <v>659</v>
      </c>
      <c r="B500" t="s">
        <v>660</v>
      </c>
      <c r="C500">
        <f>-111.717 -111.615</f>
        <v>-223.33199999999999</v>
      </c>
      <c r="D500">
        <f>-136.388 -136.208</f>
        <v>-272.596</v>
      </c>
      <c r="E500" t="s">
        <v>661</v>
      </c>
      <c r="F500" t="s">
        <v>77</v>
      </c>
    </row>
    <row r="501" spans="1:6" x14ac:dyDescent="0.25">
      <c r="A501" t="s">
        <v>662</v>
      </c>
      <c r="B501">
        <v>1.2465999999999999</v>
      </c>
      <c r="C501">
        <v>-111.714</v>
      </c>
      <c r="D501">
        <v>-135.94900000000001</v>
      </c>
      <c r="E501">
        <v>0.63993900000000004</v>
      </c>
      <c r="F501" t="s">
        <v>57</v>
      </c>
    </row>
    <row r="502" spans="1:6" x14ac:dyDescent="0.25">
      <c r="A502" t="s">
        <v>663</v>
      </c>
      <c r="B502">
        <v>1.2476849999999999</v>
      </c>
      <c r="C502">
        <v>-111.706</v>
      </c>
      <c r="D502">
        <v>-135.19499999999999</v>
      </c>
      <c r="E502">
        <v>0.64086200000000004</v>
      </c>
      <c r="F502" t="s">
        <v>57</v>
      </c>
    </row>
    <row r="503" spans="1:6" x14ac:dyDescent="0.25">
      <c r="A503" t="s">
        <v>664</v>
      </c>
      <c r="B503" t="s">
        <v>665</v>
      </c>
      <c r="C503">
        <f>-111.704 -109.553</f>
        <v>-221.25700000000001</v>
      </c>
      <c r="D503">
        <f>-135.656 -132.666</f>
        <v>-268.322</v>
      </c>
      <c r="E503" t="s">
        <v>666</v>
      </c>
      <c r="F503" t="s">
        <v>87</v>
      </c>
    </row>
    <row r="504" spans="1:6" x14ac:dyDescent="0.25">
      <c r="A504" t="s">
        <v>667</v>
      </c>
      <c r="B504">
        <v>1.285012</v>
      </c>
      <c r="C504">
        <v>-111.696</v>
      </c>
      <c r="D504">
        <v>-111.696</v>
      </c>
      <c r="E504">
        <v>0.65878899999999996</v>
      </c>
      <c r="F504" t="s">
        <v>8</v>
      </c>
    </row>
    <row r="505" spans="1:6" x14ac:dyDescent="0.25">
      <c r="A505" t="s">
        <v>668</v>
      </c>
      <c r="B505">
        <v>1.257755</v>
      </c>
      <c r="C505">
        <v>-111.687</v>
      </c>
      <c r="D505">
        <v>-135.02000000000001</v>
      </c>
      <c r="E505">
        <v>0.64512999999999998</v>
      </c>
      <c r="F505" t="s">
        <v>11</v>
      </c>
    </row>
    <row r="506" spans="1:6" x14ac:dyDescent="0.25">
      <c r="A506" t="s">
        <v>669</v>
      </c>
      <c r="B506">
        <v>1.2921590000000001</v>
      </c>
      <c r="C506">
        <v>-111.68600000000001</v>
      </c>
      <c r="D506">
        <v>-135.36799999999999</v>
      </c>
      <c r="E506">
        <v>0.66089100000000001</v>
      </c>
      <c r="F506" t="s">
        <v>13</v>
      </c>
    </row>
    <row r="507" spans="1:6" x14ac:dyDescent="0.25">
      <c r="A507" t="s">
        <v>670</v>
      </c>
      <c r="B507">
        <v>1.2460610000000001</v>
      </c>
      <c r="C507">
        <v>-111.67400000000001</v>
      </c>
      <c r="D507">
        <v>-135.20400000000001</v>
      </c>
      <c r="E507">
        <v>0.64063800000000004</v>
      </c>
      <c r="F507" t="s">
        <v>13</v>
      </c>
    </row>
    <row r="508" spans="1:6" x14ac:dyDescent="0.25">
      <c r="A508" t="s">
        <v>671</v>
      </c>
      <c r="B508">
        <v>1.2594479999999999</v>
      </c>
      <c r="C508">
        <v>-111.67400000000001</v>
      </c>
      <c r="D508">
        <v>-135.916</v>
      </c>
      <c r="E508">
        <v>0.64496699999999996</v>
      </c>
      <c r="F508" t="s">
        <v>24</v>
      </c>
    </row>
    <row r="509" spans="1:6" x14ac:dyDescent="0.25">
      <c r="A509" t="s">
        <v>672</v>
      </c>
      <c r="B509" t="s">
        <v>673</v>
      </c>
      <c r="C509">
        <f>-111.672 -114.846</f>
        <v>-226.518</v>
      </c>
      <c r="D509">
        <f>-135.618 -137.705</f>
        <v>-273.32299999999998</v>
      </c>
      <c r="E509" t="s">
        <v>674</v>
      </c>
      <c r="F509" t="s">
        <v>87</v>
      </c>
    </row>
    <row r="510" spans="1:6" x14ac:dyDescent="0.25">
      <c r="A510" t="s">
        <v>675</v>
      </c>
      <c r="B510">
        <v>1.224453</v>
      </c>
      <c r="C510">
        <v>-111.672</v>
      </c>
      <c r="D510">
        <v>-134.98099999999999</v>
      </c>
      <c r="E510">
        <v>0.62356900000000004</v>
      </c>
      <c r="F510" t="s">
        <v>57</v>
      </c>
    </row>
    <row r="511" spans="1:6" x14ac:dyDescent="0.25">
      <c r="A511" t="s">
        <v>676</v>
      </c>
      <c r="B511" t="s">
        <v>677</v>
      </c>
      <c r="C511">
        <f>-111.663 -110.484</f>
        <v>-222.14699999999999</v>
      </c>
      <c r="D511">
        <f>-136.958 -134.519</f>
        <v>-271.47699999999998</v>
      </c>
      <c r="E511" t="s">
        <v>678</v>
      </c>
      <c r="F511" t="s">
        <v>94</v>
      </c>
    </row>
    <row r="512" spans="1:6" x14ac:dyDescent="0.25">
      <c r="A512" t="s">
        <v>679</v>
      </c>
      <c r="B512">
        <v>1.2664470000000001</v>
      </c>
      <c r="C512">
        <v>-111.649</v>
      </c>
      <c r="D512">
        <v>-136.35</v>
      </c>
      <c r="E512">
        <v>0.65199200000000002</v>
      </c>
      <c r="F512" t="s">
        <v>19</v>
      </c>
    </row>
    <row r="513" spans="1:6" x14ac:dyDescent="0.25">
      <c r="A513" t="s">
        <v>680</v>
      </c>
      <c r="B513" t="s">
        <v>681</v>
      </c>
      <c r="C513">
        <f>-111.646 -112.805</f>
        <v>-224.45100000000002</v>
      </c>
      <c r="D513">
        <f>-135.533 -112.805</f>
        <v>-248.33799999999999</v>
      </c>
      <c r="E513" t="s">
        <v>682</v>
      </c>
      <c r="F513" t="s">
        <v>187</v>
      </c>
    </row>
    <row r="514" spans="1:6" x14ac:dyDescent="0.25">
      <c r="A514" t="s">
        <v>683</v>
      </c>
      <c r="B514">
        <v>1.2523660000000001</v>
      </c>
      <c r="C514">
        <v>-111.639</v>
      </c>
      <c r="D514">
        <v>-111.639</v>
      </c>
      <c r="E514">
        <v>0.64169200000000004</v>
      </c>
      <c r="F514" t="s">
        <v>19</v>
      </c>
    </row>
    <row r="515" spans="1:6" x14ac:dyDescent="0.25">
      <c r="A515" t="s">
        <v>684</v>
      </c>
      <c r="B515">
        <v>1.2824580000000001</v>
      </c>
      <c r="C515">
        <v>-111.63800000000001</v>
      </c>
      <c r="D515">
        <v>-134.989</v>
      </c>
      <c r="E515">
        <v>0.65968800000000005</v>
      </c>
      <c r="F515" t="s">
        <v>169</v>
      </c>
    </row>
    <row r="516" spans="1:6" x14ac:dyDescent="0.25">
      <c r="A516" t="s">
        <v>685</v>
      </c>
      <c r="B516">
        <v>1.237088</v>
      </c>
      <c r="C516">
        <v>-111.587</v>
      </c>
      <c r="D516">
        <v>-134.905</v>
      </c>
      <c r="E516">
        <v>0.635459</v>
      </c>
      <c r="F516" t="s">
        <v>24</v>
      </c>
    </row>
    <row r="517" spans="1:6" x14ac:dyDescent="0.25">
      <c r="A517" t="s">
        <v>686</v>
      </c>
      <c r="B517">
        <v>1.2504599999999999</v>
      </c>
      <c r="C517">
        <v>-111.586</v>
      </c>
      <c r="D517">
        <v>-134.89400000000001</v>
      </c>
      <c r="E517">
        <v>0.64015100000000003</v>
      </c>
      <c r="F517" t="s">
        <v>11</v>
      </c>
    </row>
    <row r="518" spans="1:6" x14ac:dyDescent="0.25">
      <c r="A518" t="s">
        <v>687</v>
      </c>
      <c r="B518">
        <v>1.23963</v>
      </c>
      <c r="C518">
        <v>-111.581</v>
      </c>
      <c r="D518">
        <v>-133.86799999999999</v>
      </c>
      <c r="E518">
        <v>0.63513799999999998</v>
      </c>
      <c r="F518" t="s">
        <v>57</v>
      </c>
    </row>
    <row r="519" spans="1:6" x14ac:dyDescent="0.25">
      <c r="A519" t="s">
        <v>688</v>
      </c>
      <c r="B519">
        <v>1.2880259999999999</v>
      </c>
      <c r="C519">
        <v>-111.575</v>
      </c>
      <c r="D519">
        <v>-135.98099999999999</v>
      </c>
      <c r="E519">
        <v>0.66183899999999996</v>
      </c>
      <c r="F519" t="s">
        <v>13</v>
      </c>
    </row>
    <row r="520" spans="1:6" x14ac:dyDescent="0.25">
      <c r="A520" t="s">
        <v>689</v>
      </c>
      <c r="B520">
        <v>1.2435400000000001</v>
      </c>
      <c r="C520">
        <v>-111.56</v>
      </c>
      <c r="D520">
        <v>-135.34899999999999</v>
      </c>
      <c r="E520">
        <v>0.63714499999999996</v>
      </c>
      <c r="F520" t="s">
        <v>22</v>
      </c>
    </row>
    <row r="521" spans="1:6" x14ac:dyDescent="0.25">
      <c r="A521" t="s">
        <v>690</v>
      </c>
      <c r="B521">
        <v>1.2675730000000001</v>
      </c>
      <c r="C521">
        <v>-111.551</v>
      </c>
      <c r="D521">
        <v>-133.37700000000001</v>
      </c>
      <c r="E521">
        <v>0.65268499999999996</v>
      </c>
      <c r="F521" t="s">
        <v>26</v>
      </c>
    </row>
    <row r="522" spans="1:6" x14ac:dyDescent="0.25">
      <c r="A522" t="s">
        <v>691</v>
      </c>
      <c r="B522">
        <v>1.2743789999999999</v>
      </c>
      <c r="C522">
        <v>-111.538</v>
      </c>
      <c r="D522">
        <v>-135.00800000000001</v>
      </c>
      <c r="E522">
        <v>0.65498900000000004</v>
      </c>
      <c r="F522" t="s">
        <v>140</v>
      </c>
    </row>
    <row r="523" spans="1:6" x14ac:dyDescent="0.25">
      <c r="A523" t="s">
        <v>692</v>
      </c>
      <c r="B523">
        <v>1.27233</v>
      </c>
      <c r="C523">
        <v>-111.529</v>
      </c>
      <c r="D523">
        <v>-134.23400000000001</v>
      </c>
      <c r="E523">
        <v>0.65224800000000005</v>
      </c>
      <c r="F523" t="s">
        <v>57</v>
      </c>
    </row>
    <row r="524" spans="1:6" x14ac:dyDescent="0.25">
      <c r="A524" t="s">
        <v>693</v>
      </c>
      <c r="B524" t="s">
        <v>694</v>
      </c>
      <c r="C524">
        <f>-111.521 -117.475</f>
        <v>-228.99599999999998</v>
      </c>
      <c r="D524">
        <f>-135.678 -140.476</f>
        <v>-276.154</v>
      </c>
      <c r="E524" t="s">
        <v>695</v>
      </c>
      <c r="F524" t="s">
        <v>87</v>
      </c>
    </row>
    <row r="525" spans="1:6" x14ac:dyDescent="0.25">
      <c r="A525" t="s">
        <v>696</v>
      </c>
      <c r="B525">
        <v>1.2678450000000001</v>
      </c>
      <c r="C525">
        <v>-111.51300000000001</v>
      </c>
      <c r="D525">
        <v>-111.51300000000001</v>
      </c>
      <c r="E525">
        <v>0.65080499999999997</v>
      </c>
      <c r="F525" t="s">
        <v>24</v>
      </c>
    </row>
    <row r="526" spans="1:6" x14ac:dyDescent="0.25">
      <c r="A526" t="s">
        <v>697</v>
      </c>
      <c r="B526">
        <v>1.2881100000000001</v>
      </c>
      <c r="C526">
        <v>-111.497</v>
      </c>
      <c r="D526">
        <v>-134.12</v>
      </c>
      <c r="E526">
        <v>0.66161999999999999</v>
      </c>
      <c r="F526" t="s">
        <v>211</v>
      </c>
    </row>
    <row r="527" spans="1:6" x14ac:dyDescent="0.25">
      <c r="A527" t="s">
        <v>698</v>
      </c>
      <c r="B527">
        <v>1.262505</v>
      </c>
      <c r="C527">
        <v>-111.49299999999999</v>
      </c>
      <c r="D527">
        <v>-137.292</v>
      </c>
      <c r="E527">
        <v>0.64741700000000002</v>
      </c>
      <c r="F527" t="s">
        <v>19</v>
      </c>
    </row>
    <row r="528" spans="1:6" x14ac:dyDescent="0.25">
      <c r="A528" t="s">
        <v>699</v>
      </c>
      <c r="B528" t="s">
        <v>700</v>
      </c>
      <c r="C528">
        <f>-111.482 -107.318</f>
        <v>-218.8</v>
      </c>
      <c r="D528">
        <f>-135.503 -129.723</f>
        <v>-265.226</v>
      </c>
      <c r="E528" t="s">
        <v>701</v>
      </c>
      <c r="F528" t="s">
        <v>702</v>
      </c>
    </row>
    <row r="529" spans="1:6" x14ac:dyDescent="0.25">
      <c r="A529" t="s">
        <v>703</v>
      </c>
      <c r="B529">
        <v>1.2808189999999999</v>
      </c>
      <c r="C529">
        <v>-111.471</v>
      </c>
      <c r="D529">
        <v>-135.05000000000001</v>
      </c>
      <c r="E529">
        <v>0.65608599999999995</v>
      </c>
      <c r="F529" t="s">
        <v>49</v>
      </c>
    </row>
    <row r="530" spans="1:6" x14ac:dyDescent="0.25">
      <c r="A530" t="s">
        <v>704</v>
      </c>
      <c r="B530">
        <v>1.299874</v>
      </c>
      <c r="C530">
        <v>-111.443</v>
      </c>
      <c r="D530">
        <v>-134.25200000000001</v>
      </c>
      <c r="E530">
        <v>0.66864800000000002</v>
      </c>
      <c r="F530" t="s">
        <v>13</v>
      </c>
    </row>
    <row r="531" spans="1:6" x14ac:dyDescent="0.25">
      <c r="A531" t="s">
        <v>705</v>
      </c>
      <c r="B531">
        <v>1.2671870000000001</v>
      </c>
      <c r="C531">
        <v>-111.434</v>
      </c>
      <c r="D531">
        <v>-111.434</v>
      </c>
      <c r="E531">
        <v>0.65061999999999998</v>
      </c>
      <c r="F531" t="s">
        <v>124</v>
      </c>
    </row>
    <row r="532" spans="1:6" x14ac:dyDescent="0.25">
      <c r="A532" t="s">
        <v>706</v>
      </c>
      <c r="B532">
        <v>1.2833680000000001</v>
      </c>
      <c r="C532">
        <v>-111.395</v>
      </c>
      <c r="D532">
        <v>-135.23599999999999</v>
      </c>
      <c r="E532">
        <v>0.65760600000000002</v>
      </c>
      <c r="F532" t="s">
        <v>13</v>
      </c>
    </row>
    <row r="533" spans="1:6" x14ac:dyDescent="0.25">
      <c r="A533" t="s">
        <v>707</v>
      </c>
      <c r="B533">
        <v>1.293836</v>
      </c>
      <c r="C533">
        <v>-111.38200000000001</v>
      </c>
      <c r="D533">
        <v>-133.95099999999999</v>
      </c>
      <c r="E533">
        <v>0.662273</v>
      </c>
      <c r="F533" t="s">
        <v>26</v>
      </c>
    </row>
    <row r="534" spans="1:6" x14ac:dyDescent="0.25">
      <c r="A534" t="s">
        <v>708</v>
      </c>
      <c r="B534">
        <v>1.2548250000000001</v>
      </c>
      <c r="C534">
        <v>-111.36799999999999</v>
      </c>
      <c r="D534">
        <v>-136.02600000000001</v>
      </c>
      <c r="E534">
        <v>0.64380099999999996</v>
      </c>
      <c r="F534" t="s">
        <v>24</v>
      </c>
    </row>
    <row r="535" spans="1:6" x14ac:dyDescent="0.25">
      <c r="A535" t="s">
        <v>709</v>
      </c>
      <c r="B535">
        <v>1.2581800000000001</v>
      </c>
      <c r="C535">
        <v>-111.36499999999999</v>
      </c>
      <c r="D535">
        <v>-136.00299999999999</v>
      </c>
      <c r="E535">
        <v>0.64637800000000001</v>
      </c>
      <c r="F535" t="s">
        <v>13</v>
      </c>
    </row>
    <row r="536" spans="1:6" x14ac:dyDescent="0.25">
      <c r="A536" t="s">
        <v>710</v>
      </c>
      <c r="B536" t="s">
        <v>711</v>
      </c>
      <c r="C536">
        <f>-111.363 -113.963</f>
        <v>-225.32599999999999</v>
      </c>
      <c r="D536">
        <f>-111.363 -138.292</f>
        <v>-249.655</v>
      </c>
      <c r="E536" t="s">
        <v>712</v>
      </c>
      <c r="F536" t="s">
        <v>87</v>
      </c>
    </row>
    <row r="537" spans="1:6" x14ac:dyDescent="0.25">
      <c r="A537" t="s">
        <v>713</v>
      </c>
      <c r="B537">
        <v>1.257511</v>
      </c>
      <c r="C537">
        <v>-111.351</v>
      </c>
      <c r="D537">
        <v>-135.399</v>
      </c>
      <c r="E537">
        <v>0.64341700000000002</v>
      </c>
      <c r="F537" t="s">
        <v>57</v>
      </c>
    </row>
    <row r="538" spans="1:6" x14ac:dyDescent="0.25">
      <c r="A538" t="s">
        <v>714</v>
      </c>
      <c r="B538">
        <v>1.3012330000000001</v>
      </c>
      <c r="C538">
        <v>-111.336</v>
      </c>
      <c r="D538">
        <v>-135.24199999999999</v>
      </c>
      <c r="E538">
        <v>0.66618299999999997</v>
      </c>
      <c r="F538" t="s">
        <v>13</v>
      </c>
    </row>
    <row r="539" spans="1:6" x14ac:dyDescent="0.25">
      <c r="A539" t="s">
        <v>715</v>
      </c>
      <c r="B539">
        <v>1.256894</v>
      </c>
      <c r="C539">
        <v>-111.33</v>
      </c>
      <c r="D539">
        <v>-134.38499999999999</v>
      </c>
      <c r="E539">
        <v>0.64395999999999998</v>
      </c>
      <c r="F539" t="s">
        <v>49</v>
      </c>
    </row>
    <row r="540" spans="1:6" x14ac:dyDescent="0.25">
      <c r="A540" t="s">
        <v>716</v>
      </c>
      <c r="B540">
        <v>1.277558</v>
      </c>
      <c r="C540">
        <v>-111.33</v>
      </c>
      <c r="D540">
        <v>-134.87200000000001</v>
      </c>
      <c r="E540">
        <v>0.65334899999999996</v>
      </c>
      <c r="F540" t="s">
        <v>13</v>
      </c>
    </row>
    <row r="541" spans="1:6" x14ac:dyDescent="0.25">
      <c r="A541" t="s">
        <v>717</v>
      </c>
      <c r="B541">
        <v>1.2791939999999999</v>
      </c>
      <c r="C541">
        <v>-111.322</v>
      </c>
      <c r="D541">
        <v>-134.25299999999999</v>
      </c>
      <c r="E541">
        <v>0.65762699999999996</v>
      </c>
      <c r="F541" t="s">
        <v>13</v>
      </c>
    </row>
    <row r="542" spans="1:6" x14ac:dyDescent="0.25">
      <c r="A542" t="s">
        <v>718</v>
      </c>
      <c r="B542">
        <v>1.2404740000000001</v>
      </c>
      <c r="C542">
        <v>-111.31399999999999</v>
      </c>
      <c r="D542">
        <v>-134.87899999999999</v>
      </c>
      <c r="E542">
        <v>0.63622500000000004</v>
      </c>
      <c r="F542" t="s">
        <v>22</v>
      </c>
    </row>
    <row r="543" spans="1:6" x14ac:dyDescent="0.25">
      <c r="A543" t="s">
        <v>719</v>
      </c>
      <c r="B543">
        <v>1.313618</v>
      </c>
      <c r="C543">
        <v>-111.30800000000001</v>
      </c>
      <c r="D543">
        <v>-133.89599999999999</v>
      </c>
      <c r="E543">
        <v>0.67376199999999997</v>
      </c>
      <c r="F543" t="s">
        <v>24</v>
      </c>
    </row>
    <row r="544" spans="1:6" x14ac:dyDescent="0.25">
      <c r="A544" t="s">
        <v>720</v>
      </c>
      <c r="B544">
        <v>1.2447729999999999</v>
      </c>
      <c r="C544">
        <v>-111.29900000000001</v>
      </c>
      <c r="D544">
        <v>-134.69900000000001</v>
      </c>
      <c r="E544">
        <v>0.63813699999999995</v>
      </c>
      <c r="F544" t="s">
        <v>57</v>
      </c>
    </row>
    <row r="545" spans="1:6" x14ac:dyDescent="0.25">
      <c r="A545" t="s">
        <v>721</v>
      </c>
      <c r="B545">
        <v>1.3033440000000001</v>
      </c>
      <c r="C545">
        <v>-111.29300000000001</v>
      </c>
      <c r="D545">
        <v>-134.72</v>
      </c>
      <c r="E545">
        <v>0.67078700000000002</v>
      </c>
      <c r="F545" t="s">
        <v>13</v>
      </c>
    </row>
    <row r="546" spans="1:6" x14ac:dyDescent="0.25">
      <c r="A546" t="s">
        <v>722</v>
      </c>
      <c r="B546">
        <v>1.2810969999999999</v>
      </c>
      <c r="C546">
        <v>-111.288</v>
      </c>
      <c r="D546">
        <v>-135.691</v>
      </c>
      <c r="E546">
        <v>0.65622999999999998</v>
      </c>
      <c r="F546" t="s">
        <v>169</v>
      </c>
    </row>
    <row r="547" spans="1:6" x14ac:dyDescent="0.25">
      <c r="A547" t="s">
        <v>723</v>
      </c>
      <c r="B547">
        <v>1.2295670000000001</v>
      </c>
      <c r="C547">
        <v>-111.27800000000001</v>
      </c>
      <c r="D547">
        <v>-134.411</v>
      </c>
      <c r="E547">
        <v>0.62979300000000005</v>
      </c>
      <c r="F547" t="s">
        <v>13</v>
      </c>
    </row>
    <row r="548" spans="1:6" x14ac:dyDescent="0.25">
      <c r="A548" t="s">
        <v>724</v>
      </c>
      <c r="B548">
        <v>1.2901290000000001</v>
      </c>
      <c r="C548">
        <v>-111.276</v>
      </c>
      <c r="D548">
        <v>-133.80500000000001</v>
      </c>
      <c r="E548">
        <v>0.66383499999999995</v>
      </c>
      <c r="F548" t="s">
        <v>26</v>
      </c>
    </row>
    <row r="549" spans="1:6" x14ac:dyDescent="0.25">
      <c r="A549" t="s">
        <v>725</v>
      </c>
      <c r="B549">
        <v>1.269566</v>
      </c>
      <c r="C549">
        <v>-111.276</v>
      </c>
      <c r="D549">
        <v>-131.89699999999999</v>
      </c>
      <c r="E549">
        <v>0.65191100000000002</v>
      </c>
      <c r="F549" t="s">
        <v>16</v>
      </c>
    </row>
    <row r="550" spans="1:6" x14ac:dyDescent="0.25">
      <c r="A550" t="s">
        <v>726</v>
      </c>
      <c r="B550">
        <v>1.3011710000000001</v>
      </c>
      <c r="C550">
        <v>-111.27200000000001</v>
      </c>
      <c r="D550">
        <v>-136.285</v>
      </c>
      <c r="E550">
        <v>0.66690199999999999</v>
      </c>
      <c r="F550" t="s">
        <v>13</v>
      </c>
    </row>
    <row r="551" spans="1:6" x14ac:dyDescent="0.25">
      <c r="A551" t="s">
        <v>727</v>
      </c>
      <c r="B551">
        <v>1.220324</v>
      </c>
      <c r="C551">
        <v>-111.26300000000001</v>
      </c>
      <c r="D551">
        <v>-134.751</v>
      </c>
      <c r="E551">
        <v>0.62441800000000003</v>
      </c>
      <c r="F551" t="s">
        <v>19</v>
      </c>
    </row>
    <row r="552" spans="1:6" x14ac:dyDescent="0.25">
      <c r="A552" t="s">
        <v>728</v>
      </c>
      <c r="B552">
        <v>1.271055</v>
      </c>
      <c r="C552">
        <v>-111.258</v>
      </c>
      <c r="D552">
        <v>-135.684</v>
      </c>
      <c r="E552">
        <v>0.65054699999999999</v>
      </c>
      <c r="F552" t="s">
        <v>22</v>
      </c>
    </row>
    <row r="553" spans="1:6" x14ac:dyDescent="0.25">
      <c r="A553" t="s">
        <v>729</v>
      </c>
      <c r="B553">
        <v>1.2718929999999999</v>
      </c>
      <c r="C553">
        <v>-111.251</v>
      </c>
      <c r="D553">
        <v>-135.01599999999999</v>
      </c>
      <c r="E553">
        <v>0.65291699999999997</v>
      </c>
      <c r="F553" t="s">
        <v>57</v>
      </c>
    </row>
    <row r="554" spans="1:6" x14ac:dyDescent="0.25">
      <c r="A554" t="s">
        <v>730</v>
      </c>
      <c r="B554">
        <v>1.2380599999999999</v>
      </c>
      <c r="C554">
        <v>-111.247</v>
      </c>
      <c r="D554">
        <v>-134.393</v>
      </c>
      <c r="E554">
        <v>0.63250099999999998</v>
      </c>
      <c r="F554" t="s">
        <v>24</v>
      </c>
    </row>
    <row r="555" spans="1:6" x14ac:dyDescent="0.25">
      <c r="A555" t="s">
        <v>731</v>
      </c>
      <c r="B555">
        <v>1.2867550000000001</v>
      </c>
      <c r="C555">
        <v>-111.224</v>
      </c>
      <c r="D555">
        <v>-135.22300000000001</v>
      </c>
      <c r="E555">
        <v>0.66074999999999995</v>
      </c>
      <c r="F555" t="s">
        <v>11</v>
      </c>
    </row>
    <row r="556" spans="1:6" x14ac:dyDescent="0.25">
      <c r="A556" t="s">
        <v>732</v>
      </c>
      <c r="B556">
        <v>1.2563869999999999</v>
      </c>
      <c r="C556">
        <v>-111.215</v>
      </c>
      <c r="D556">
        <v>-133.90600000000001</v>
      </c>
      <c r="E556">
        <v>0.64402099999999995</v>
      </c>
      <c r="F556" t="s">
        <v>13</v>
      </c>
    </row>
    <row r="557" spans="1:6" x14ac:dyDescent="0.25">
      <c r="A557" t="s">
        <v>733</v>
      </c>
      <c r="B557">
        <v>1.2944530000000001</v>
      </c>
      <c r="C557">
        <v>-111.21299999999999</v>
      </c>
      <c r="D557">
        <v>-133.791</v>
      </c>
      <c r="E557">
        <v>0.66380899999999998</v>
      </c>
      <c r="F557" t="s">
        <v>13</v>
      </c>
    </row>
    <row r="558" spans="1:6" x14ac:dyDescent="0.25">
      <c r="A558" t="s">
        <v>734</v>
      </c>
      <c r="B558">
        <v>1.252664</v>
      </c>
      <c r="C558">
        <v>-111.212</v>
      </c>
      <c r="D558">
        <v>-136.482</v>
      </c>
      <c r="E558">
        <v>0.64258800000000005</v>
      </c>
      <c r="F558" t="s">
        <v>262</v>
      </c>
    </row>
    <row r="559" spans="1:6" x14ac:dyDescent="0.25">
      <c r="A559" t="s">
        <v>735</v>
      </c>
      <c r="B559">
        <v>1.2835570000000001</v>
      </c>
      <c r="C559">
        <v>-111.199</v>
      </c>
      <c r="D559">
        <v>-133.24</v>
      </c>
      <c r="E559">
        <v>0.65768099999999996</v>
      </c>
      <c r="F559" t="s">
        <v>26</v>
      </c>
    </row>
    <row r="560" spans="1:6" x14ac:dyDescent="0.25">
      <c r="A560" t="s">
        <v>736</v>
      </c>
      <c r="B560">
        <v>1.2150259999999999</v>
      </c>
      <c r="C560">
        <v>-111.19199999999999</v>
      </c>
      <c r="D560">
        <v>-136.101</v>
      </c>
      <c r="E560">
        <v>0.62463100000000005</v>
      </c>
      <c r="F560" t="s">
        <v>22</v>
      </c>
    </row>
    <row r="561" spans="1:6" x14ac:dyDescent="0.25">
      <c r="A561" t="s">
        <v>737</v>
      </c>
      <c r="B561">
        <v>1.270683</v>
      </c>
      <c r="C561">
        <v>-111.19199999999999</v>
      </c>
      <c r="D561">
        <v>-135.25700000000001</v>
      </c>
      <c r="E561">
        <v>0.65050200000000002</v>
      </c>
      <c r="F561" t="s">
        <v>24</v>
      </c>
    </row>
    <row r="562" spans="1:6" x14ac:dyDescent="0.25">
      <c r="A562" t="s">
        <v>738</v>
      </c>
      <c r="B562">
        <v>1.20076</v>
      </c>
      <c r="C562">
        <v>-111.191</v>
      </c>
      <c r="D562">
        <v>-134.07499999999999</v>
      </c>
      <c r="E562">
        <v>0.61582000000000003</v>
      </c>
      <c r="F562" t="s">
        <v>57</v>
      </c>
    </row>
    <row r="563" spans="1:6" x14ac:dyDescent="0.25">
      <c r="A563" t="s">
        <v>739</v>
      </c>
      <c r="B563">
        <v>1.290727</v>
      </c>
      <c r="C563">
        <v>-111.187</v>
      </c>
      <c r="D563">
        <v>-134.959</v>
      </c>
      <c r="E563">
        <v>0.66106900000000002</v>
      </c>
      <c r="F563" t="s">
        <v>22</v>
      </c>
    </row>
    <row r="564" spans="1:6" x14ac:dyDescent="0.25">
      <c r="A564" t="s">
        <v>740</v>
      </c>
      <c r="B564">
        <v>1.2539670000000001</v>
      </c>
      <c r="C564">
        <v>-111.18600000000001</v>
      </c>
      <c r="D564">
        <v>-134.93700000000001</v>
      </c>
      <c r="E564">
        <v>0.64236099999999996</v>
      </c>
      <c r="F564" t="s">
        <v>13</v>
      </c>
    </row>
    <row r="565" spans="1:6" x14ac:dyDescent="0.25">
      <c r="A565" t="s">
        <v>741</v>
      </c>
      <c r="B565">
        <v>1.2633829999999999</v>
      </c>
      <c r="C565">
        <v>-111.178</v>
      </c>
      <c r="D565">
        <v>-137.328</v>
      </c>
      <c r="E565">
        <v>0.64722500000000005</v>
      </c>
      <c r="F565" t="s">
        <v>57</v>
      </c>
    </row>
    <row r="566" spans="1:6" x14ac:dyDescent="0.25">
      <c r="A566" t="s">
        <v>742</v>
      </c>
      <c r="B566">
        <v>1.270397</v>
      </c>
      <c r="C566">
        <v>-111.17100000000001</v>
      </c>
      <c r="D566">
        <v>-136.61799999999999</v>
      </c>
      <c r="E566">
        <v>0.65104300000000004</v>
      </c>
      <c r="F566" t="s">
        <v>49</v>
      </c>
    </row>
    <row r="567" spans="1:6" x14ac:dyDescent="0.25">
      <c r="A567" t="s">
        <v>743</v>
      </c>
      <c r="B567">
        <v>1.3127359999999999</v>
      </c>
      <c r="C567">
        <v>-111.157</v>
      </c>
      <c r="D567">
        <v>-134.77500000000001</v>
      </c>
      <c r="E567">
        <v>0.67344000000000004</v>
      </c>
      <c r="F567" t="s">
        <v>13</v>
      </c>
    </row>
    <row r="568" spans="1:6" x14ac:dyDescent="0.25">
      <c r="A568" t="s">
        <v>744</v>
      </c>
      <c r="B568">
        <v>1.255315</v>
      </c>
      <c r="C568">
        <v>-111.154</v>
      </c>
      <c r="D568">
        <v>-135.12100000000001</v>
      </c>
      <c r="E568">
        <v>0.64354500000000003</v>
      </c>
      <c r="F568" t="s">
        <v>194</v>
      </c>
    </row>
    <row r="569" spans="1:6" x14ac:dyDescent="0.25">
      <c r="A569" t="s">
        <v>745</v>
      </c>
      <c r="B569">
        <v>1.227463</v>
      </c>
      <c r="C569">
        <v>-111.148</v>
      </c>
      <c r="D569">
        <v>-133.62200000000001</v>
      </c>
      <c r="E569">
        <v>0.62978299999999998</v>
      </c>
      <c r="F569" t="s">
        <v>24</v>
      </c>
    </row>
    <row r="570" spans="1:6" x14ac:dyDescent="0.25">
      <c r="A570" t="s">
        <v>746</v>
      </c>
      <c r="B570" t="s">
        <v>747</v>
      </c>
      <c r="C570">
        <f>-111.142 -116.804</f>
        <v>-227.946</v>
      </c>
      <c r="D570">
        <f>-135.547 -142.453</f>
        <v>-278</v>
      </c>
      <c r="E570" t="s">
        <v>748</v>
      </c>
      <c r="F570" t="s">
        <v>749</v>
      </c>
    </row>
    <row r="571" spans="1:6" x14ac:dyDescent="0.25">
      <c r="A571" t="s">
        <v>750</v>
      </c>
      <c r="B571">
        <v>1.2666120000000001</v>
      </c>
      <c r="C571">
        <v>-111.139</v>
      </c>
      <c r="D571">
        <v>-136.42400000000001</v>
      </c>
      <c r="E571">
        <v>0.64932400000000001</v>
      </c>
      <c r="F571" t="s">
        <v>13</v>
      </c>
    </row>
    <row r="572" spans="1:6" x14ac:dyDescent="0.25">
      <c r="A572" t="s">
        <v>751</v>
      </c>
      <c r="B572">
        <v>1.240345</v>
      </c>
      <c r="C572">
        <v>-111.137</v>
      </c>
      <c r="D572">
        <v>-136.655</v>
      </c>
      <c r="E572">
        <v>0.63639599999999996</v>
      </c>
      <c r="F572" t="s">
        <v>24</v>
      </c>
    </row>
    <row r="573" spans="1:6" x14ac:dyDescent="0.25">
      <c r="A573" t="s">
        <v>752</v>
      </c>
      <c r="B573">
        <v>1.263088</v>
      </c>
      <c r="C573">
        <v>-111.131</v>
      </c>
      <c r="D573">
        <v>-133.62700000000001</v>
      </c>
      <c r="E573">
        <v>0.64520200000000005</v>
      </c>
      <c r="F573" t="s">
        <v>57</v>
      </c>
    </row>
    <row r="574" spans="1:6" x14ac:dyDescent="0.25">
      <c r="A574" t="s">
        <v>753</v>
      </c>
      <c r="B574">
        <v>1.298835</v>
      </c>
      <c r="C574">
        <v>-111.128</v>
      </c>
      <c r="D574">
        <v>-135.45699999999999</v>
      </c>
      <c r="E574">
        <v>0.66566800000000004</v>
      </c>
      <c r="F574" t="s">
        <v>401</v>
      </c>
    </row>
    <row r="575" spans="1:6" x14ac:dyDescent="0.25">
      <c r="A575" t="s">
        <v>754</v>
      </c>
      <c r="B575">
        <v>1.2938480000000001</v>
      </c>
      <c r="C575">
        <v>-111.117</v>
      </c>
      <c r="D575">
        <v>-136.43299999999999</v>
      </c>
      <c r="E575">
        <v>0.662802</v>
      </c>
      <c r="F575" t="s">
        <v>755</v>
      </c>
    </row>
    <row r="576" spans="1:6" x14ac:dyDescent="0.25">
      <c r="A576" t="s">
        <v>756</v>
      </c>
      <c r="B576">
        <v>1.2340089999999999</v>
      </c>
      <c r="C576">
        <v>-111.11199999999999</v>
      </c>
      <c r="D576">
        <v>-136.154</v>
      </c>
      <c r="E576">
        <v>0.63356500000000004</v>
      </c>
      <c r="F576" t="s">
        <v>24</v>
      </c>
    </row>
    <row r="577" spans="1:6" x14ac:dyDescent="0.25">
      <c r="A577" t="s">
        <v>757</v>
      </c>
      <c r="B577">
        <v>1.229897</v>
      </c>
      <c r="C577">
        <v>-111.108</v>
      </c>
      <c r="D577">
        <v>-134.30500000000001</v>
      </c>
      <c r="E577">
        <v>0.62821099999999996</v>
      </c>
      <c r="F577" t="s">
        <v>26</v>
      </c>
    </row>
    <row r="578" spans="1:6" x14ac:dyDescent="0.25">
      <c r="A578" t="s">
        <v>758</v>
      </c>
      <c r="B578">
        <v>1.2977559999999999</v>
      </c>
      <c r="C578">
        <v>-111.10599999999999</v>
      </c>
      <c r="D578">
        <v>-135.80000000000001</v>
      </c>
      <c r="E578">
        <v>0.666466</v>
      </c>
      <c r="F578" t="s">
        <v>57</v>
      </c>
    </row>
    <row r="579" spans="1:6" x14ac:dyDescent="0.25">
      <c r="A579" t="s">
        <v>759</v>
      </c>
      <c r="B579">
        <v>1.2546520000000001</v>
      </c>
      <c r="C579">
        <v>-111.095</v>
      </c>
      <c r="D579">
        <v>-139.53299999999999</v>
      </c>
      <c r="E579">
        <v>0.64414000000000005</v>
      </c>
      <c r="F579" t="s">
        <v>24</v>
      </c>
    </row>
    <row r="580" spans="1:6" x14ac:dyDescent="0.25">
      <c r="A580" t="s">
        <v>760</v>
      </c>
      <c r="B580">
        <v>1.264974</v>
      </c>
      <c r="C580">
        <v>-111.07899999999999</v>
      </c>
      <c r="D580">
        <v>-111.07899999999999</v>
      </c>
      <c r="E580">
        <v>0.64841499999999996</v>
      </c>
      <c r="F580" t="s">
        <v>22</v>
      </c>
    </row>
    <row r="581" spans="1:6" x14ac:dyDescent="0.25">
      <c r="A581" t="s">
        <v>761</v>
      </c>
      <c r="B581">
        <v>1.2360089999999999</v>
      </c>
      <c r="C581">
        <v>-111.07599999999999</v>
      </c>
      <c r="D581">
        <v>-136.13399999999999</v>
      </c>
      <c r="E581">
        <v>0.63678699999999999</v>
      </c>
      <c r="F581" t="s">
        <v>13</v>
      </c>
    </row>
    <row r="582" spans="1:6" x14ac:dyDescent="0.25">
      <c r="A582" t="s">
        <v>762</v>
      </c>
      <c r="B582">
        <v>1.261801</v>
      </c>
      <c r="C582">
        <v>-111.074</v>
      </c>
      <c r="D582">
        <v>-111.074</v>
      </c>
      <c r="E582">
        <v>0.64924599999999999</v>
      </c>
      <c r="F582" t="s">
        <v>57</v>
      </c>
    </row>
    <row r="583" spans="1:6" x14ac:dyDescent="0.25">
      <c r="A583" t="s">
        <v>763</v>
      </c>
      <c r="B583">
        <v>1.2409410000000001</v>
      </c>
      <c r="C583">
        <v>-111.07299999999999</v>
      </c>
      <c r="D583">
        <v>-135.702</v>
      </c>
      <c r="E583">
        <v>0.63488299999999998</v>
      </c>
      <c r="F583" t="s">
        <v>49</v>
      </c>
    </row>
    <row r="584" spans="1:6" x14ac:dyDescent="0.25">
      <c r="A584" t="s">
        <v>764</v>
      </c>
      <c r="B584">
        <v>1.2505489999999999</v>
      </c>
      <c r="C584">
        <v>-111.06399999999999</v>
      </c>
      <c r="D584">
        <v>-134.036</v>
      </c>
      <c r="E584">
        <v>0.64212899999999995</v>
      </c>
      <c r="F584" t="s">
        <v>8</v>
      </c>
    </row>
    <row r="585" spans="1:6" x14ac:dyDescent="0.25">
      <c r="A585" t="s">
        <v>765</v>
      </c>
      <c r="B585">
        <v>1.275857</v>
      </c>
      <c r="C585">
        <v>-111.04600000000001</v>
      </c>
      <c r="D585">
        <v>-133.976</v>
      </c>
      <c r="E585">
        <v>0.65422000000000002</v>
      </c>
      <c r="F585" t="s">
        <v>57</v>
      </c>
    </row>
    <row r="586" spans="1:6" x14ac:dyDescent="0.25">
      <c r="A586" t="s">
        <v>766</v>
      </c>
      <c r="B586">
        <v>1.2608269999999999</v>
      </c>
      <c r="C586">
        <v>-111.04600000000001</v>
      </c>
      <c r="D586">
        <v>-135.18100000000001</v>
      </c>
      <c r="E586">
        <v>0.64608600000000005</v>
      </c>
      <c r="F586" t="s">
        <v>13</v>
      </c>
    </row>
    <row r="587" spans="1:6" x14ac:dyDescent="0.25">
      <c r="A587" t="s">
        <v>767</v>
      </c>
      <c r="B587">
        <v>1.254974</v>
      </c>
      <c r="C587">
        <v>-111.039</v>
      </c>
      <c r="D587">
        <v>-135.02600000000001</v>
      </c>
      <c r="E587">
        <v>0.644536</v>
      </c>
      <c r="F587" t="s">
        <v>19</v>
      </c>
    </row>
    <row r="588" spans="1:6" x14ac:dyDescent="0.25">
      <c r="A588" t="s">
        <v>768</v>
      </c>
      <c r="B588">
        <v>1.2422470000000001</v>
      </c>
      <c r="C588">
        <v>-111.036</v>
      </c>
      <c r="D588">
        <v>-134.84100000000001</v>
      </c>
      <c r="E588">
        <v>0.63373500000000005</v>
      </c>
      <c r="F588" t="s">
        <v>26</v>
      </c>
    </row>
    <row r="589" spans="1:6" x14ac:dyDescent="0.25">
      <c r="A589" t="s">
        <v>769</v>
      </c>
      <c r="B589">
        <v>1.2724329999999999</v>
      </c>
      <c r="C589">
        <v>-111.029</v>
      </c>
      <c r="D589">
        <v>-134.59700000000001</v>
      </c>
      <c r="E589">
        <v>0.65536300000000003</v>
      </c>
      <c r="F589" t="s">
        <v>19</v>
      </c>
    </row>
    <row r="590" spans="1:6" x14ac:dyDescent="0.25">
      <c r="A590" t="s">
        <v>770</v>
      </c>
      <c r="B590">
        <v>1.2922389999999999</v>
      </c>
      <c r="C590">
        <v>-111.026</v>
      </c>
      <c r="D590">
        <v>-111.026</v>
      </c>
      <c r="E590">
        <v>0.66418600000000005</v>
      </c>
      <c r="F590" t="s">
        <v>13</v>
      </c>
    </row>
    <row r="591" spans="1:6" x14ac:dyDescent="0.25">
      <c r="A591" t="s">
        <v>771</v>
      </c>
      <c r="B591">
        <v>1.278713</v>
      </c>
      <c r="C591">
        <v>-111.02</v>
      </c>
      <c r="D591">
        <v>-134.512</v>
      </c>
      <c r="E591">
        <v>0.65667799999999998</v>
      </c>
      <c r="F591" t="s">
        <v>22</v>
      </c>
    </row>
    <row r="592" spans="1:6" x14ac:dyDescent="0.25">
      <c r="A592" t="s">
        <v>772</v>
      </c>
      <c r="B592">
        <v>1.245476</v>
      </c>
      <c r="C592">
        <v>-111.02</v>
      </c>
      <c r="D592">
        <v>-135.89599999999999</v>
      </c>
      <c r="E592">
        <v>0.63811600000000002</v>
      </c>
      <c r="F592" t="s">
        <v>19</v>
      </c>
    </row>
    <row r="593" spans="1:6" x14ac:dyDescent="0.25">
      <c r="A593" t="s">
        <v>773</v>
      </c>
      <c r="B593">
        <v>1.252372</v>
      </c>
      <c r="C593">
        <v>-111.01600000000001</v>
      </c>
      <c r="D593">
        <v>-135.303</v>
      </c>
      <c r="E593">
        <v>0.641046</v>
      </c>
      <c r="F593" t="s">
        <v>144</v>
      </c>
    </row>
    <row r="594" spans="1:6" x14ac:dyDescent="0.25">
      <c r="A594" t="s">
        <v>774</v>
      </c>
      <c r="B594">
        <v>1.288543</v>
      </c>
      <c r="C594">
        <v>-111.003</v>
      </c>
      <c r="D594">
        <v>-134.643</v>
      </c>
      <c r="E594">
        <v>0.66002700000000003</v>
      </c>
      <c r="F594" t="s">
        <v>57</v>
      </c>
    </row>
    <row r="595" spans="1:6" x14ac:dyDescent="0.25">
      <c r="A595" t="s">
        <v>775</v>
      </c>
      <c r="B595" t="s">
        <v>776</v>
      </c>
      <c r="C595">
        <f>-110.992 -114.129</f>
        <v>-225.12100000000001</v>
      </c>
      <c r="D595">
        <f>-137.061 -114.129</f>
        <v>-251.19</v>
      </c>
      <c r="E595" t="s">
        <v>777</v>
      </c>
      <c r="F595" t="s">
        <v>87</v>
      </c>
    </row>
    <row r="596" spans="1:6" x14ac:dyDescent="0.25">
      <c r="A596" t="s">
        <v>778</v>
      </c>
      <c r="B596">
        <v>1.25501</v>
      </c>
      <c r="C596">
        <v>-110.977</v>
      </c>
      <c r="D596">
        <v>-133.36799999999999</v>
      </c>
      <c r="E596">
        <v>0.642621</v>
      </c>
      <c r="F596" t="s">
        <v>13</v>
      </c>
    </row>
    <row r="597" spans="1:6" x14ac:dyDescent="0.25">
      <c r="A597" t="s">
        <v>779</v>
      </c>
      <c r="B597">
        <v>1.2630790000000001</v>
      </c>
      <c r="C597">
        <v>-110.97199999999999</v>
      </c>
      <c r="D597">
        <v>-134.328</v>
      </c>
      <c r="E597">
        <v>0.65164599999999995</v>
      </c>
      <c r="F597" t="s">
        <v>19</v>
      </c>
    </row>
    <row r="598" spans="1:6" x14ac:dyDescent="0.25">
      <c r="A598" t="s">
        <v>780</v>
      </c>
      <c r="B598">
        <v>1.2439180000000001</v>
      </c>
      <c r="C598">
        <v>-110.96299999999999</v>
      </c>
      <c r="D598">
        <v>-110.96299999999999</v>
      </c>
      <c r="E598">
        <v>0.63873199999999997</v>
      </c>
      <c r="F598" t="s">
        <v>169</v>
      </c>
    </row>
    <row r="599" spans="1:6" x14ac:dyDescent="0.25">
      <c r="A599" t="s">
        <v>781</v>
      </c>
      <c r="B599">
        <v>1.277272</v>
      </c>
      <c r="C599">
        <v>-110.96</v>
      </c>
      <c r="D599">
        <v>-135.05600000000001</v>
      </c>
      <c r="E599">
        <v>0.65734300000000001</v>
      </c>
      <c r="F599" t="s">
        <v>19</v>
      </c>
    </row>
    <row r="600" spans="1:6" x14ac:dyDescent="0.25">
      <c r="A600" t="s">
        <v>782</v>
      </c>
      <c r="B600">
        <v>1.2235</v>
      </c>
      <c r="C600">
        <v>-110.93</v>
      </c>
      <c r="D600">
        <v>-136.477</v>
      </c>
      <c r="E600">
        <v>0.62601899999999999</v>
      </c>
      <c r="F600" t="s">
        <v>19</v>
      </c>
    </row>
    <row r="601" spans="1:6" x14ac:dyDescent="0.25">
      <c r="A601" t="s">
        <v>783</v>
      </c>
      <c r="B601">
        <v>1.248329</v>
      </c>
      <c r="C601">
        <v>-110.925</v>
      </c>
      <c r="D601">
        <v>-135.53700000000001</v>
      </c>
      <c r="E601">
        <v>0.639934</v>
      </c>
      <c r="F601" t="s">
        <v>13</v>
      </c>
    </row>
    <row r="602" spans="1:6" x14ac:dyDescent="0.25">
      <c r="A602" t="s">
        <v>784</v>
      </c>
      <c r="B602">
        <v>1.2526299999999999</v>
      </c>
      <c r="C602">
        <v>-110.919</v>
      </c>
      <c r="D602">
        <v>-133.75200000000001</v>
      </c>
      <c r="E602">
        <v>0.64154999999999995</v>
      </c>
      <c r="F602" t="s">
        <v>57</v>
      </c>
    </row>
    <row r="603" spans="1:6" x14ac:dyDescent="0.25">
      <c r="A603" t="s">
        <v>785</v>
      </c>
      <c r="B603">
        <v>1.290826</v>
      </c>
      <c r="C603">
        <v>-110.91800000000001</v>
      </c>
      <c r="D603">
        <v>-133.43100000000001</v>
      </c>
      <c r="E603">
        <v>0.66295000000000004</v>
      </c>
      <c r="F603" t="s">
        <v>26</v>
      </c>
    </row>
    <row r="604" spans="1:6" x14ac:dyDescent="0.25">
      <c r="A604" t="s">
        <v>786</v>
      </c>
      <c r="B604">
        <v>1.2735780000000001</v>
      </c>
      <c r="C604">
        <v>-110.913</v>
      </c>
      <c r="D604">
        <v>-133.99299999999999</v>
      </c>
      <c r="E604">
        <v>0.65674100000000002</v>
      </c>
      <c r="F604" t="s">
        <v>8</v>
      </c>
    </row>
    <row r="605" spans="1:6" x14ac:dyDescent="0.25">
      <c r="A605" t="s">
        <v>787</v>
      </c>
      <c r="B605">
        <v>1.281884</v>
      </c>
      <c r="C605">
        <v>-110.91</v>
      </c>
      <c r="D605">
        <v>-141.67599999999999</v>
      </c>
      <c r="E605">
        <v>0.65823500000000001</v>
      </c>
      <c r="F605" t="s">
        <v>22</v>
      </c>
    </row>
    <row r="606" spans="1:6" x14ac:dyDescent="0.25">
      <c r="A606" t="s">
        <v>788</v>
      </c>
      <c r="B606">
        <v>1.2775049999999999</v>
      </c>
      <c r="C606">
        <v>-110.895</v>
      </c>
      <c r="D606">
        <v>-133.804</v>
      </c>
      <c r="E606">
        <v>0.65395199999999998</v>
      </c>
      <c r="F606" t="s">
        <v>26</v>
      </c>
    </row>
    <row r="607" spans="1:6" x14ac:dyDescent="0.25">
      <c r="A607" t="s">
        <v>789</v>
      </c>
      <c r="B607">
        <v>1.2473620000000001</v>
      </c>
      <c r="C607">
        <v>-110.895</v>
      </c>
      <c r="D607">
        <v>-133.166</v>
      </c>
      <c r="E607">
        <v>0.64088900000000004</v>
      </c>
      <c r="F607" t="s">
        <v>16</v>
      </c>
    </row>
    <row r="608" spans="1:6" x14ac:dyDescent="0.25">
      <c r="A608" t="s">
        <v>790</v>
      </c>
      <c r="B608">
        <v>1.2481409999999999</v>
      </c>
      <c r="C608">
        <v>-110.89400000000001</v>
      </c>
      <c r="D608">
        <v>-137.001</v>
      </c>
      <c r="E608">
        <v>0.64101200000000003</v>
      </c>
      <c r="F608" t="s">
        <v>8</v>
      </c>
    </row>
    <row r="609" spans="1:6" x14ac:dyDescent="0.25">
      <c r="A609" t="s">
        <v>791</v>
      </c>
      <c r="B609">
        <v>1.250389</v>
      </c>
      <c r="C609">
        <v>-110.879</v>
      </c>
      <c r="D609">
        <v>-133.27500000000001</v>
      </c>
      <c r="E609">
        <v>0.64283999999999997</v>
      </c>
      <c r="F609" t="s">
        <v>57</v>
      </c>
    </row>
    <row r="610" spans="1:6" x14ac:dyDescent="0.25">
      <c r="A610" t="s">
        <v>792</v>
      </c>
      <c r="B610">
        <v>1.270478</v>
      </c>
      <c r="C610">
        <v>-110.875</v>
      </c>
      <c r="D610">
        <v>-135.95699999999999</v>
      </c>
      <c r="E610">
        <v>0.651586</v>
      </c>
      <c r="F610" t="s">
        <v>24</v>
      </c>
    </row>
    <row r="611" spans="1:6" x14ac:dyDescent="0.25">
      <c r="A611" t="s">
        <v>793</v>
      </c>
      <c r="B611">
        <v>1.2777989999999999</v>
      </c>
      <c r="C611">
        <v>-110.86799999999999</v>
      </c>
      <c r="D611">
        <v>-110.86799999999999</v>
      </c>
      <c r="E611">
        <v>0.656223</v>
      </c>
      <c r="F611" t="s">
        <v>49</v>
      </c>
    </row>
    <row r="612" spans="1:6" x14ac:dyDescent="0.25">
      <c r="A612" t="s">
        <v>794</v>
      </c>
      <c r="B612">
        <v>1.2924059999999999</v>
      </c>
      <c r="C612">
        <v>-110.861</v>
      </c>
      <c r="D612">
        <v>-134.506</v>
      </c>
      <c r="E612">
        <v>0.66500800000000004</v>
      </c>
      <c r="F612" t="s">
        <v>26</v>
      </c>
    </row>
    <row r="613" spans="1:6" x14ac:dyDescent="0.25">
      <c r="A613" t="s">
        <v>795</v>
      </c>
      <c r="B613">
        <v>1.2327399999999999</v>
      </c>
      <c r="C613">
        <v>-110.858</v>
      </c>
      <c r="D613">
        <v>-135.69</v>
      </c>
      <c r="E613">
        <v>0.63295900000000005</v>
      </c>
      <c r="F613" t="s">
        <v>8</v>
      </c>
    </row>
    <row r="614" spans="1:6" x14ac:dyDescent="0.25">
      <c r="A614" t="s">
        <v>796</v>
      </c>
      <c r="B614" t="s">
        <v>797</v>
      </c>
      <c r="C614">
        <f>-110.843 -107.73</f>
        <v>-218.57300000000001</v>
      </c>
      <c r="D614">
        <f>-136 -132.193</f>
        <v>-268.19299999999998</v>
      </c>
      <c r="E614" t="s">
        <v>798</v>
      </c>
      <c r="F614" t="s">
        <v>187</v>
      </c>
    </row>
    <row r="615" spans="1:6" x14ac:dyDescent="0.25">
      <c r="A615" t="s">
        <v>799</v>
      </c>
      <c r="B615" t="s">
        <v>800</v>
      </c>
      <c r="C615">
        <f>-110.84 -110.526</f>
        <v>-221.36599999999999</v>
      </c>
      <c r="D615">
        <f>-134.936 -135.455</f>
        <v>-270.39100000000002</v>
      </c>
      <c r="E615" t="s">
        <v>801</v>
      </c>
      <c r="F615" t="s">
        <v>802</v>
      </c>
    </row>
    <row r="616" spans="1:6" x14ac:dyDescent="0.25">
      <c r="A616" t="s">
        <v>803</v>
      </c>
      <c r="B616">
        <v>1.25539</v>
      </c>
      <c r="C616">
        <v>-110.83199999999999</v>
      </c>
      <c r="D616">
        <v>-135.09200000000001</v>
      </c>
      <c r="E616">
        <v>0.64449900000000004</v>
      </c>
      <c r="F616" t="s">
        <v>26</v>
      </c>
    </row>
    <row r="617" spans="1:6" x14ac:dyDescent="0.25">
      <c r="A617" t="s">
        <v>804</v>
      </c>
      <c r="B617" t="s">
        <v>805</v>
      </c>
      <c r="C617">
        <f>-110.828 -109.371</f>
        <v>-220.19900000000001</v>
      </c>
      <c r="D617">
        <f>-134.786 -132.871</f>
        <v>-267.65700000000004</v>
      </c>
      <c r="E617" t="s">
        <v>806</v>
      </c>
      <c r="F617" t="s">
        <v>87</v>
      </c>
    </row>
    <row r="618" spans="1:6" x14ac:dyDescent="0.25">
      <c r="A618" t="s">
        <v>807</v>
      </c>
      <c r="B618">
        <v>1.2434780000000001</v>
      </c>
      <c r="C618">
        <v>-110.821</v>
      </c>
      <c r="D618">
        <v>-134.97</v>
      </c>
      <c r="E618">
        <v>0.64151100000000005</v>
      </c>
      <c r="F618" t="s">
        <v>8</v>
      </c>
    </row>
    <row r="619" spans="1:6" x14ac:dyDescent="0.25">
      <c r="A619" t="s">
        <v>808</v>
      </c>
      <c r="B619">
        <v>1.2588360000000001</v>
      </c>
      <c r="C619">
        <v>-110.807</v>
      </c>
      <c r="D619">
        <v>-133.62100000000001</v>
      </c>
      <c r="E619">
        <v>0.64592400000000005</v>
      </c>
      <c r="F619" t="s">
        <v>26</v>
      </c>
    </row>
    <row r="620" spans="1:6" x14ac:dyDescent="0.25">
      <c r="A620" t="s">
        <v>809</v>
      </c>
      <c r="B620" t="s">
        <v>810</v>
      </c>
      <c r="C620">
        <f>-110.793 -110.982</f>
        <v>-221.77500000000001</v>
      </c>
      <c r="D620" t="s">
        <v>811</v>
      </c>
      <c r="E620" t="s">
        <v>812</v>
      </c>
      <c r="F620" t="s">
        <v>87</v>
      </c>
    </row>
    <row r="621" spans="1:6" x14ac:dyDescent="0.25">
      <c r="A621" t="s">
        <v>813</v>
      </c>
      <c r="B621">
        <v>1.2681370000000001</v>
      </c>
      <c r="C621">
        <v>-110.79300000000001</v>
      </c>
      <c r="D621">
        <v>-134.46100000000001</v>
      </c>
      <c r="E621">
        <v>0.64824000000000004</v>
      </c>
      <c r="F621" t="s">
        <v>57</v>
      </c>
    </row>
    <row r="622" spans="1:6" x14ac:dyDescent="0.25">
      <c r="A622" t="s">
        <v>814</v>
      </c>
      <c r="B622">
        <v>1.2428619999999999</v>
      </c>
      <c r="C622">
        <v>-110.788</v>
      </c>
      <c r="D622">
        <v>-134.10499999999999</v>
      </c>
      <c r="E622">
        <v>0.63942500000000002</v>
      </c>
      <c r="F622" t="s">
        <v>13</v>
      </c>
    </row>
    <row r="623" spans="1:6" x14ac:dyDescent="0.25">
      <c r="A623" t="s">
        <v>815</v>
      </c>
      <c r="B623">
        <v>1.290999</v>
      </c>
      <c r="C623">
        <v>-110.767</v>
      </c>
      <c r="D623">
        <v>-136.38</v>
      </c>
      <c r="E623">
        <v>0.66538600000000003</v>
      </c>
      <c r="F623" t="s">
        <v>22</v>
      </c>
    </row>
    <row r="624" spans="1:6" x14ac:dyDescent="0.25">
      <c r="A624" t="s">
        <v>816</v>
      </c>
      <c r="B624">
        <v>1.2887919999999999</v>
      </c>
      <c r="C624">
        <v>-110.753</v>
      </c>
      <c r="D624">
        <v>-134.56200000000001</v>
      </c>
      <c r="E624">
        <v>0.66083400000000003</v>
      </c>
      <c r="F624" t="s">
        <v>11</v>
      </c>
    </row>
    <row r="625" spans="1:6" x14ac:dyDescent="0.25">
      <c r="A625" t="s">
        <v>817</v>
      </c>
      <c r="B625">
        <v>1.2538800000000001</v>
      </c>
      <c r="C625">
        <v>-110.752</v>
      </c>
      <c r="D625">
        <v>-134.40899999999999</v>
      </c>
      <c r="E625">
        <v>0.63980499999999996</v>
      </c>
      <c r="F625" t="s">
        <v>13</v>
      </c>
    </row>
    <row r="626" spans="1:6" x14ac:dyDescent="0.25">
      <c r="A626" t="s">
        <v>818</v>
      </c>
      <c r="B626">
        <v>1.264875</v>
      </c>
      <c r="C626">
        <v>-110.738</v>
      </c>
      <c r="D626">
        <v>-133.93600000000001</v>
      </c>
      <c r="E626">
        <v>0.64746999999999999</v>
      </c>
      <c r="F626" t="s">
        <v>201</v>
      </c>
    </row>
    <row r="627" spans="1:6" x14ac:dyDescent="0.25">
      <c r="A627" t="s">
        <v>819</v>
      </c>
      <c r="B627">
        <v>1.2934049999999999</v>
      </c>
      <c r="C627">
        <v>-110.71599999999999</v>
      </c>
      <c r="D627">
        <v>-110.71599999999999</v>
      </c>
      <c r="E627">
        <v>0.66502099999999997</v>
      </c>
      <c r="F627" t="s">
        <v>22</v>
      </c>
    </row>
    <row r="628" spans="1:6" x14ac:dyDescent="0.25">
      <c r="A628" t="s">
        <v>820</v>
      </c>
      <c r="B628">
        <v>1.2685249999999999</v>
      </c>
      <c r="C628">
        <v>-110.71</v>
      </c>
      <c r="D628">
        <v>-134.761</v>
      </c>
      <c r="E628">
        <v>0.64881900000000003</v>
      </c>
      <c r="F628" t="s">
        <v>24</v>
      </c>
    </row>
    <row r="629" spans="1:6" x14ac:dyDescent="0.25">
      <c r="A629" t="s">
        <v>821</v>
      </c>
      <c r="B629">
        <v>1.261517</v>
      </c>
      <c r="C629">
        <v>-110.708</v>
      </c>
      <c r="D629">
        <v>-137.53800000000001</v>
      </c>
      <c r="E629">
        <v>0.64534000000000002</v>
      </c>
      <c r="F629" t="s">
        <v>57</v>
      </c>
    </row>
    <row r="630" spans="1:6" x14ac:dyDescent="0.25">
      <c r="A630" t="s">
        <v>822</v>
      </c>
      <c r="B630">
        <v>1.2742530000000001</v>
      </c>
      <c r="C630">
        <v>-110.7</v>
      </c>
      <c r="D630">
        <v>-110.7</v>
      </c>
      <c r="E630">
        <v>0.65433699999999995</v>
      </c>
      <c r="F630" t="s">
        <v>211</v>
      </c>
    </row>
    <row r="631" spans="1:6" x14ac:dyDescent="0.25">
      <c r="A631" t="s">
        <v>823</v>
      </c>
      <c r="B631">
        <v>1.2465980000000001</v>
      </c>
      <c r="C631">
        <v>-110.693</v>
      </c>
      <c r="D631">
        <v>-110.693</v>
      </c>
      <c r="E631">
        <v>0.63928700000000005</v>
      </c>
      <c r="F631" t="s">
        <v>140</v>
      </c>
    </row>
    <row r="632" spans="1:6" x14ac:dyDescent="0.25">
      <c r="A632" t="s">
        <v>824</v>
      </c>
      <c r="B632">
        <v>1.247687</v>
      </c>
      <c r="C632">
        <v>-110.691</v>
      </c>
      <c r="D632">
        <v>-134.62799999999999</v>
      </c>
      <c r="E632">
        <v>0.64210599999999995</v>
      </c>
      <c r="F632" t="s">
        <v>19</v>
      </c>
    </row>
    <row r="633" spans="1:6" x14ac:dyDescent="0.25">
      <c r="A633" t="s">
        <v>825</v>
      </c>
      <c r="B633">
        <v>1.289175</v>
      </c>
      <c r="C633">
        <v>-110.68300000000001</v>
      </c>
      <c r="D633">
        <v>-133.94399999999999</v>
      </c>
      <c r="E633">
        <v>0.66099300000000005</v>
      </c>
      <c r="F633" t="s">
        <v>24</v>
      </c>
    </row>
    <row r="634" spans="1:6" x14ac:dyDescent="0.25">
      <c r="A634" t="s">
        <v>826</v>
      </c>
      <c r="B634" t="s">
        <v>827</v>
      </c>
      <c r="C634">
        <f>-110.68 -110.562</f>
        <v>-221.24200000000002</v>
      </c>
      <c r="D634">
        <f>-134.14 -143.836</f>
        <v>-277.976</v>
      </c>
      <c r="E634" t="s">
        <v>828</v>
      </c>
      <c r="F634" t="s">
        <v>87</v>
      </c>
    </row>
    <row r="635" spans="1:6" x14ac:dyDescent="0.25">
      <c r="A635" t="s">
        <v>829</v>
      </c>
      <c r="B635">
        <v>1.2918270000000001</v>
      </c>
      <c r="C635">
        <v>-110.678</v>
      </c>
      <c r="D635">
        <v>-110.678</v>
      </c>
      <c r="E635">
        <v>0.66135900000000003</v>
      </c>
      <c r="F635" t="s">
        <v>8</v>
      </c>
    </row>
    <row r="636" spans="1:6" x14ac:dyDescent="0.25">
      <c r="A636" t="s">
        <v>830</v>
      </c>
      <c r="B636">
        <v>1.272483</v>
      </c>
      <c r="C636">
        <v>-110.666</v>
      </c>
      <c r="D636">
        <v>0</v>
      </c>
      <c r="E636">
        <v>0.65257500000000002</v>
      </c>
      <c r="F636" t="s">
        <v>57</v>
      </c>
    </row>
    <row r="637" spans="1:6" x14ac:dyDescent="0.25">
      <c r="A637" t="s">
        <v>831</v>
      </c>
      <c r="B637">
        <v>1.2674380000000001</v>
      </c>
      <c r="C637">
        <v>-110.65900000000001</v>
      </c>
      <c r="D637">
        <v>-133.98599999999999</v>
      </c>
      <c r="E637">
        <v>0.65019000000000005</v>
      </c>
      <c r="F637" t="s">
        <v>19</v>
      </c>
    </row>
    <row r="638" spans="1:6" x14ac:dyDescent="0.25">
      <c r="A638" t="s">
        <v>832</v>
      </c>
      <c r="B638">
        <v>1.2802880000000001</v>
      </c>
      <c r="C638">
        <v>-110.64700000000001</v>
      </c>
      <c r="D638">
        <v>-133.66</v>
      </c>
      <c r="E638">
        <v>0.65839000000000003</v>
      </c>
      <c r="F638" t="s">
        <v>194</v>
      </c>
    </row>
    <row r="639" spans="1:6" x14ac:dyDescent="0.25">
      <c r="A639" t="s">
        <v>833</v>
      </c>
      <c r="B639">
        <v>1.2615510000000001</v>
      </c>
      <c r="C639">
        <v>-110.639</v>
      </c>
      <c r="D639">
        <v>-134.53</v>
      </c>
      <c r="E639">
        <v>0.64796299999999996</v>
      </c>
      <c r="F639" t="s">
        <v>49</v>
      </c>
    </row>
    <row r="640" spans="1:6" x14ac:dyDescent="0.25">
      <c r="A640" t="s">
        <v>834</v>
      </c>
      <c r="B640">
        <v>1.250596</v>
      </c>
      <c r="C640">
        <v>-110.636</v>
      </c>
      <c r="D640">
        <v>-134.21799999999999</v>
      </c>
      <c r="E640">
        <v>0.64041300000000001</v>
      </c>
      <c r="F640" t="s">
        <v>22</v>
      </c>
    </row>
    <row r="641" spans="1:6" x14ac:dyDescent="0.25">
      <c r="A641" t="s">
        <v>835</v>
      </c>
      <c r="B641">
        <v>1.2593129999999999</v>
      </c>
      <c r="C641">
        <v>-110.634</v>
      </c>
      <c r="D641">
        <v>-134.018</v>
      </c>
      <c r="E641">
        <v>0.64484799999999998</v>
      </c>
      <c r="F641" t="s">
        <v>57</v>
      </c>
    </row>
    <row r="642" spans="1:6" x14ac:dyDescent="0.25">
      <c r="A642" t="s">
        <v>836</v>
      </c>
      <c r="B642">
        <v>1.2614730000000001</v>
      </c>
      <c r="C642">
        <v>-110.634</v>
      </c>
      <c r="D642">
        <v>-110.634</v>
      </c>
      <c r="E642">
        <v>0.64935200000000004</v>
      </c>
      <c r="F642" t="s">
        <v>69</v>
      </c>
    </row>
    <row r="643" spans="1:6" x14ac:dyDescent="0.25">
      <c r="A643" t="s">
        <v>837</v>
      </c>
      <c r="B643" t="s">
        <v>838</v>
      </c>
      <c r="C643">
        <f>-110.633 -106.562</f>
        <v>-217.19499999999999</v>
      </c>
      <c r="D643">
        <f>-135.115 -129.134</f>
        <v>-264.24900000000002</v>
      </c>
      <c r="E643" t="s">
        <v>839</v>
      </c>
      <c r="F643" t="s">
        <v>94</v>
      </c>
    </row>
    <row r="644" spans="1:6" x14ac:dyDescent="0.25">
      <c r="A644" t="s">
        <v>840</v>
      </c>
      <c r="B644">
        <v>1.254588</v>
      </c>
      <c r="C644">
        <v>-110.628</v>
      </c>
      <c r="D644">
        <v>-133.83199999999999</v>
      </c>
      <c r="E644">
        <v>0.64412899999999995</v>
      </c>
      <c r="F644" t="s">
        <v>57</v>
      </c>
    </row>
    <row r="645" spans="1:6" x14ac:dyDescent="0.25">
      <c r="A645" t="s">
        <v>841</v>
      </c>
      <c r="B645">
        <v>1.2851159999999999</v>
      </c>
      <c r="C645">
        <v>-110.61499999999999</v>
      </c>
      <c r="D645">
        <v>-134.767</v>
      </c>
      <c r="E645">
        <v>0.66067900000000002</v>
      </c>
      <c r="F645" t="s">
        <v>22</v>
      </c>
    </row>
    <row r="646" spans="1:6" x14ac:dyDescent="0.25">
      <c r="A646" t="s">
        <v>842</v>
      </c>
      <c r="B646">
        <v>1.19292</v>
      </c>
      <c r="C646">
        <v>-110.611</v>
      </c>
      <c r="D646">
        <v>-110.611</v>
      </c>
      <c r="E646">
        <v>0.61020200000000002</v>
      </c>
      <c r="F646" t="s">
        <v>49</v>
      </c>
    </row>
    <row r="647" spans="1:6" x14ac:dyDescent="0.25">
      <c r="A647" t="s">
        <v>843</v>
      </c>
      <c r="B647">
        <v>1.27362</v>
      </c>
      <c r="C647">
        <v>-110.607</v>
      </c>
      <c r="D647">
        <v>-134.55099999999999</v>
      </c>
      <c r="E647">
        <v>0.65314799999999995</v>
      </c>
      <c r="F647" t="s">
        <v>13</v>
      </c>
    </row>
    <row r="648" spans="1:6" x14ac:dyDescent="0.25">
      <c r="A648" t="s">
        <v>844</v>
      </c>
      <c r="B648">
        <v>1.264931</v>
      </c>
      <c r="C648">
        <v>-110.586</v>
      </c>
      <c r="D648">
        <v>-135.518</v>
      </c>
      <c r="E648">
        <v>0.65043200000000001</v>
      </c>
      <c r="F648" t="s">
        <v>8</v>
      </c>
    </row>
    <row r="649" spans="1:6" x14ac:dyDescent="0.25">
      <c r="A649" t="s">
        <v>845</v>
      </c>
      <c r="B649">
        <v>1.2555160000000001</v>
      </c>
      <c r="C649">
        <v>-110.584</v>
      </c>
      <c r="D649">
        <v>-134.95599999999999</v>
      </c>
      <c r="E649">
        <v>0.641787</v>
      </c>
      <c r="F649" t="s">
        <v>8</v>
      </c>
    </row>
    <row r="650" spans="1:6" x14ac:dyDescent="0.25">
      <c r="A650" t="s">
        <v>846</v>
      </c>
      <c r="B650">
        <v>1.29556</v>
      </c>
      <c r="C650">
        <v>-110.581</v>
      </c>
      <c r="D650">
        <v>-134</v>
      </c>
      <c r="E650">
        <v>0.66546400000000006</v>
      </c>
      <c r="F650" t="s">
        <v>201</v>
      </c>
    </row>
    <row r="651" spans="1:6" x14ac:dyDescent="0.25">
      <c r="A651" t="s">
        <v>847</v>
      </c>
      <c r="B651">
        <v>1.25387</v>
      </c>
      <c r="C651">
        <v>-110.578</v>
      </c>
      <c r="D651">
        <v>-135.012</v>
      </c>
      <c r="E651">
        <v>0.64239500000000005</v>
      </c>
      <c r="F651" t="s">
        <v>24</v>
      </c>
    </row>
    <row r="652" spans="1:6" x14ac:dyDescent="0.25">
      <c r="A652" t="s">
        <v>848</v>
      </c>
      <c r="B652">
        <v>1.298608</v>
      </c>
      <c r="C652">
        <v>-110.56100000000001</v>
      </c>
      <c r="D652">
        <v>-135.37</v>
      </c>
      <c r="E652">
        <v>0.66449999999999998</v>
      </c>
      <c r="F652" t="s">
        <v>8</v>
      </c>
    </row>
    <row r="653" spans="1:6" x14ac:dyDescent="0.25">
      <c r="A653" t="s">
        <v>849</v>
      </c>
      <c r="B653">
        <v>1.279458</v>
      </c>
      <c r="C653">
        <v>-110.548</v>
      </c>
      <c r="D653">
        <v>-110.548</v>
      </c>
      <c r="E653">
        <v>0.65789200000000003</v>
      </c>
      <c r="F653" t="s">
        <v>140</v>
      </c>
    </row>
    <row r="654" spans="1:6" x14ac:dyDescent="0.25">
      <c r="A654" t="s">
        <v>850</v>
      </c>
      <c r="B654">
        <v>1.2792380000000001</v>
      </c>
      <c r="C654">
        <v>-110.539</v>
      </c>
      <c r="D654">
        <v>-136.01499999999999</v>
      </c>
      <c r="E654">
        <v>0.65409200000000001</v>
      </c>
      <c r="F654" t="s">
        <v>262</v>
      </c>
    </row>
    <row r="655" spans="1:6" x14ac:dyDescent="0.25">
      <c r="A655" t="s">
        <v>851</v>
      </c>
      <c r="B655">
        <v>1.2855810000000001</v>
      </c>
      <c r="C655">
        <v>-110.536</v>
      </c>
      <c r="D655">
        <v>-110.536</v>
      </c>
      <c r="E655">
        <v>0.66130500000000003</v>
      </c>
      <c r="F655" t="s">
        <v>401</v>
      </c>
    </row>
    <row r="656" spans="1:6" x14ac:dyDescent="0.25">
      <c r="A656" t="s">
        <v>852</v>
      </c>
      <c r="B656">
        <v>1.289539</v>
      </c>
      <c r="C656">
        <v>-110.524</v>
      </c>
      <c r="D656">
        <v>-135.02699999999999</v>
      </c>
      <c r="E656">
        <v>0.66181400000000001</v>
      </c>
      <c r="F656" t="s">
        <v>11</v>
      </c>
    </row>
    <row r="657" spans="1:6" x14ac:dyDescent="0.25">
      <c r="A657" t="s">
        <v>853</v>
      </c>
      <c r="B657">
        <v>1.264753</v>
      </c>
      <c r="C657">
        <v>-110.489</v>
      </c>
      <c r="D657">
        <v>-134.69</v>
      </c>
      <c r="E657">
        <v>0.64776999999999996</v>
      </c>
      <c r="F657" t="s">
        <v>11</v>
      </c>
    </row>
    <row r="658" spans="1:6" x14ac:dyDescent="0.25">
      <c r="A658" t="s">
        <v>854</v>
      </c>
      <c r="B658">
        <v>1.26776</v>
      </c>
      <c r="C658">
        <v>-110.488</v>
      </c>
      <c r="D658">
        <v>-133.63800000000001</v>
      </c>
      <c r="E658">
        <v>0.65130600000000005</v>
      </c>
      <c r="F658" t="s">
        <v>24</v>
      </c>
    </row>
    <row r="659" spans="1:6" x14ac:dyDescent="0.25">
      <c r="A659" t="s">
        <v>855</v>
      </c>
      <c r="B659">
        <v>1.243225</v>
      </c>
      <c r="C659">
        <v>-110.48099999999999</v>
      </c>
      <c r="D659">
        <v>-135.67500000000001</v>
      </c>
      <c r="E659">
        <v>0.63624199999999997</v>
      </c>
      <c r="F659" t="s">
        <v>22</v>
      </c>
    </row>
    <row r="660" spans="1:6" x14ac:dyDescent="0.25">
      <c r="A660" t="s">
        <v>856</v>
      </c>
      <c r="B660">
        <v>1.250108</v>
      </c>
      <c r="C660">
        <v>-110.477</v>
      </c>
      <c r="D660">
        <v>-133.61199999999999</v>
      </c>
      <c r="E660">
        <v>0.64332599999999995</v>
      </c>
      <c r="F660" t="s">
        <v>13</v>
      </c>
    </row>
    <row r="661" spans="1:6" x14ac:dyDescent="0.25">
      <c r="A661" t="s">
        <v>857</v>
      </c>
      <c r="B661">
        <v>1.26973</v>
      </c>
      <c r="C661">
        <v>-110.477</v>
      </c>
      <c r="D661">
        <v>-136.00800000000001</v>
      </c>
      <c r="E661">
        <v>0.65364100000000003</v>
      </c>
      <c r="F661" t="s">
        <v>13</v>
      </c>
    </row>
    <row r="662" spans="1:6" x14ac:dyDescent="0.25">
      <c r="A662" t="s">
        <v>858</v>
      </c>
      <c r="B662" t="s">
        <v>859</v>
      </c>
      <c r="C662">
        <f>-110.474 -108.06</f>
        <v>-218.53399999999999</v>
      </c>
      <c r="D662">
        <f>-135.128 -134.647</f>
        <v>-269.77499999999998</v>
      </c>
      <c r="E662" t="s">
        <v>860</v>
      </c>
      <c r="F662" t="s">
        <v>77</v>
      </c>
    </row>
    <row r="663" spans="1:6" x14ac:dyDescent="0.25">
      <c r="A663" t="s">
        <v>861</v>
      </c>
      <c r="B663">
        <v>1.2784070000000001</v>
      </c>
      <c r="C663">
        <v>-110.44499999999999</v>
      </c>
      <c r="D663">
        <v>-135.40299999999999</v>
      </c>
      <c r="E663">
        <v>0.65562200000000004</v>
      </c>
      <c r="F663" t="s">
        <v>13</v>
      </c>
    </row>
    <row r="664" spans="1:6" x14ac:dyDescent="0.25">
      <c r="A664" t="s">
        <v>862</v>
      </c>
      <c r="B664" t="s">
        <v>863</v>
      </c>
      <c r="C664">
        <f>-110.438 -112.577</f>
        <v>-223.01499999999999</v>
      </c>
      <c r="D664">
        <f>-134.799 -135.803</f>
        <v>-270.60199999999998</v>
      </c>
      <c r="E664" t="s">
        <v>864</v>
      </c>
      <c r="F664" t="s">
        <v>94</v>
      </c>
    </row>
    <row r="665" spans="1:6" x14ac:dyDescent="0.25">
      <c r="A665" t="s">
        <v>865</v>
      </c>
      <c r="B665">
        <v>1.241736</v>
      </c>
      <c r="C665">
        <v>-110.42700000000001</v>
      </c>
      <c r="D665">
        <v>-137.88900000000001</v>
      </c>
      <c r="E665">
        <v>0.63639000000000001</v>
      </c>
      <c r="F665" t="s">
        <v>22</v>
      </c>
    </row>
    <row r="666" spans="1:6" x14ac:dyDescent="0.25">
      <c r="A666" t="s">
        <v>866</v>
      </c>
      <c r="B666">
        <v>1.259479</v>
      </c>
      <c r="C666">
        <v>-110.423</v>
      </c>
      <c r="D666">
        <v>0</v>
      </c>
      <c r="E666">
        <v>0.64745699999999995</v>
      </c>
      <c r="F666" t="s">
        <v>24</v>
      </c>
    </row>
    <row r="667" spans="1:6" x14ac:dyDescent="0.25">
      <c r="A667" t="s">
        <v>867</v>
      </c>
      <c r="B667">
        <v>1.2548699999999999</v>
      </c>
      <c r="C667">
        <v>-110.422</v>
      </c>
      <c r="D667">
        <v>-135.167</v>
      </c>
      <c r="E667">
        <v>0.64310699999999998</v>
      </c>
      <c r="F667" t="s">
        <v>211</v>
      </c>
    </row>
    <row r="668" spans="1:6" x14ac:dyDescent="0.25">
      <c r="A668" t="s">
        <v>868</v>
      </c>
      <c r="B668">
        <v>1.2451950000000001</v>
      </c>
      <c r="C668">
        <v>-110.414</v>
      </c>
      <c r="D668">
        <v>-110.414</v>
      </c>
      <c r="E668">
        <v>0.63935299999999995</v>
      </c>
      <c r="F668" t="s">
        <v>24</v>
      </c>
    </row>
    <row r="669" spans="1:6" x14ac:dyDescent="0.25">
      <c r="A669" t="s">
        <v>869</v>
      </c>
      <c r="B669">
        <v>1.25756</v>
      </c>
      <c r="C669">
        <v>-110.413</v>
      </c>
      <c r="D669">
        <v>-142.893</v>
      </c>
      <c r="E669">
        <v>0.64407099999999995</v>
      </c>
      <c r="F669" t="s">
        <v>13</v>
      </c>
    </row>
    <row r="670" spans="1:6" x14ac:dyDescent="0.25">
      <c r="A670" t="s">
        <v>870</v>
      </c>
      <c r="B670">
        <v>1.274211</v>
      </c>
      <c r="C670">
        <v>-110.40600000000001</v>
      </c>
      <c r="D670">
        <v>-133.982</v>
      </c>
      <c r="E670">
        <v>0.65170799999999995</v>
      </c>
      <c r="F670" t="s">
        <v>24</v>
      </c>
    </row>
    <row r="671" spans="1:6" x14ac:dyDescent="0.25">
      <c r="A671" t="s">
        <v>871</v>
      </c>
      <c r="B671">
        <v>1.2738659999999999</v>
      </c>
      <c r="C671">
        <v>-110.4</v>
      </c>
      <c r="D671">
        <v>-134.583</v>
      </c>
      <c r="E671">
        <v>0.65375300000000003</v>
      </c>
      <c r="F671" t="s">
        <v>22</v>
      </c>
    </row>
    <row r="672" spans="1:6" x14ac:dyDescent="0.25">
      <c r="A672" t="s">
        <v>872</v>
      </c>
      <c r="B672">
        <v>1.2416659999999999</v>
      </c>
      <c r="C672">
        <v>-110.395</v>
      </c>
      <c r="D672">
        <v>-134.797</v>
      </c>
      <c r="E672">
        <v>0.63541999999999998</v>
      </c>
      <c r="F672" t="s">
        <v>57</v>
      </c>
    </row>
    <row r="673" spans="1:6" x14ac:dyDescent="0.25">
      <c r="A673" t="s">
        <v>873</v>
      </c>
      <c r="B673" t="s">
        <v>874</v>
      </c>
      <c r="C673">
        <f>-110.39 -108.599</f>
        <v>-218.989</v>
      </c>
      <c r="D673">
        <f>-133.765 -133.079</f>
        <v>-266.84399999999999</v>
      </c>
      <c r="E673" t="s">
        <v>875</v>
      </c>
      <c r="F673" t="s">
        <v>31</v>
      </c>
    </row>
    <row r="674" spans="1:6" x14ac:dyDescent="0.25">
      <c r="A674" t="s">
        <v>876</v>
      </c>
      <c r="B674">
        <v>1.2769090000000001</v>
      </c>
      <c r="C674">
        <v>-110.38500000000001</v>
      </c>
      <c r="D674">
        <v>-133.94499999999999</v>
      </c>
      <c r="E674">
        <v>0.65407099999999996</v>
      </c>
      <c r="F674" t="s">
        <v>8</v>
      </c>
    </row>
    <row r="675" spans="1:6" x14ac:dyDescent="0.25">
      <c r="A675" t="s">
        <v>877</v>
      </c>
      <c r="B675">
        <v>1.2808390000000001</v>
      </c>
      <c r="C675">
        <v>-110.379</v>
      </c>
      <c r="D675">
        <v>-135.33699999999999</v>
      </c>
      <c r="E675">
        <v>0.65565200000000001</v>
      </c>
      <c r="F675" t="s">
        <v>57</v>
      </c>
    </row>
    <row r="676" spans="1:6" x14ac:dyDescent="0.25">
      <c r="A676" t="s">
        <v>878</v>
      </c>
      <c r="B676">
        <v>1.244971</v>
      </c>
      <c r="C676">
        <v>-110.375</v>
      </c>
      <c r="D676">
        <v>-134.28100000000001</v>
      </c>
      <c r="E676">
        <v>0.63785800000000004</v>
      </c>
      <c r="F676" t="s">
        <v>13</v>
      </c>
    </row>
    <row r="677" spans="1:6" x14ac:dyDescent="0.25">
      <c r="A677" t="s">
        <v>879</v>
      </c>
      <c r="B677" t="s">
        <v>880</v>
      </c>
      <c r="C677">
        <f>-110.365 -118.43</f>
        <v>-228.79500000000002</v>
      </c>
      <c r="D677">
        <f>-132.669 -142.303</f>
        <v>-274.97199999999998</v>
      </c>
      <c r="E677" t="s">
        <v>881</v>
      </c>
      <c r="F677" t="s">
        <v>220</v>
      </c>
    </row>
    <row r="678" spans="1:6" x14ac:dyDescent="0.25">
      <c r="A678" t="s">
        <v>882</v>
      </c>
      <c r="B678">
        <v>1.254367</v>
      </c>
      <c r="C678">
        <v>-110.349</v>
      </c>
      <c r="D678">
        <v>-133.25899999999999</v>
      </c>
      <c r="E678">
        <v>0.64494499999999999</v>
      </c>
      <c r="F678" t="s">
        <v>22</v>
      </c>
    </row>
    <row r="679" spans="1:6" x14ac:dyDescent="0.25">
      <c r="A679" t="s">
        <v>883</v>
      </c>
      <c r="B679">
        <v>1.1704540000000001</v>
      </c>
      <c r="C679">
        <v>-110.334</v>
      </c>
      <c r="D679">
        <v>-132.62200000000001</v>
      </c>
      <c r="E679">
        <v>0.59653400000000001</v>
      </c>
      <c r="F679" t="s">
        <v>201</v>
      </c>
    </row>
    <row r="680" spans="1:6" x14ac:dyDescent="0.25">
      <c r="A680" t="s">
        <v>884</v>
      </c>
      <c r="B680">
        <v>1.2703679999999999</v>
      </c>
      <c r="C680">
        <v>-110.32299999999999</v>
      </c>
      <c r="D680">
        <v>-135.46799999999999</v>
      </c>
      <c r="E680">
        <v>0.65195999999999998</v>
      </c>
      <c r="F680" t="s">
        <v>8</v>
      </c>
    </row>
    <row r="681" spans="1:6" x14ac:dyDescent="0.25">
      <c r="A681" t="s">
        <v>885</v>
      </c>
      <c r="B681" t="s">
        <v>886</v>
      </c>
      <c r="C681">
        <f>-110.316 -108.51</f>
        <v>-218.82600000000002</v>
      </c>
      <c r="D681">
        <f>-135.806 -132.68</f>
        <v>-268.48599999999999</v>
      </c>
      <c r="E681" t="s">
        <v>887</v>
      </c>
      <c r="F681" t="s">
        <v>888</v>
      </c>
    </row>
    <row r="682" spans="1:6" x14ac:dyDescent="0.25">
      <c r="A682" t="s">
        <v>889</v>
      </c>
      <c r="B682">
        <v>1.2783910000000001</v>
      </c>
      <c r="C682">
        <v>-110.31399999999999</v>
      </c>
      <c r="D682">
        <v>-136.74</v>
      </c>
      <c r="E682">
        <v>0.65725599999999995</v>
      </c>
      <c r="F682" t="s">
        <v>140</v>
      </c>
    </row>
    <row r="683" spans="1:6" x14ac:dyDescent="0.25">
      <c r="A683" t="s">
        <v>890</v>
      </c>
      <c r="B683">
        <v>1.2517149999999999</v>
      </c>
      <c r="C683">
        <v>-110.304</v>
      </c>
      <c r="D683">
        <v>-134.41900000000001</v>
      </c>
      <c r="E683">
        <v>0.64181100000000002</v>
      </c>
      <c r="F683" t="s">
        <v>57</v>
      </c>
    </row>
    <row r="684" spans="1:6" x14ac:dyDescent="0.25">
      <c r="A684" t="s">
        <v>891</v>
      </c>
      <c r="B684">
        <v>1.239573</v>
      </c>
      <c r="C684">
        <v>-110.298</v>
      </c>
      <c r="D684">
        <v>-133.12799999999999</v>
      </c>
      <c r="E684">
        <v>0.63541800000000004</v>
      </c>
      <c r="F684" t="s">
        <v>13</v>
      </c>
    </row>
    <row r="685" spans="1:6" x14ac:dyDescent="0.25">
      <c r="A685" t="s">
        <v>892</v>
      </c>
      <c r="B685">
        <v>1.2722519999999999</v>
      </c>
      <c r="C685">
        <v>-110.289</v>
      </c>
      <c r="D685">
        <v>-136.19399999999999</v>
      </c>
      <c r="E685">
        <v>0.65383599999999997</v>
      </c>
      <c r="F685" t="s">
        <v>8</v>
      </c>
    </row>
    <row r="686" spans="1:6" x14ac:dyDescent="0.25">
      <c r="A686" t="s">
        <v>893</v>
      </c>
      <c r="B686">
        <v>1.244262</v>
      </c>
      <c r="C686">
        <v>-110.249</v>
      </c>
      <c r="D686">
        <v>-133.042</v>
      </c>
      <c r="E686">
        <v>0.63897300000000001</v>
      </c>
      <c r="F686" t="s">
        <v>13</v>
      </c>
    </row>
    <row r="687" spans="1:6" x14ac:dyDescent="0.25">
      <c r="A687" t="s">
        <v>894</v>
      </c>
      <c r="B687">
        <v>1.2510220000000001</v>
      </c>
      <c r="C687">
        <v>-110.236</v>
      </c>
      <c r="D687">
        <v>-135.30699999999999</v>
      </c>
      <c r="E687">
        <v>0.64013100000000001</v>
      </c>
      <c r="F687" t="s">
        <v>11</v>
      </c>
    </row>
    <row r="688" spans="1:6" x14ac:dyDescent="0.25">
      <c r="A688" t="s">
        <v>895</v>
      </c>
      <c r="B688">
        <v>1.263112</v>
      </c>
      <c r="C688">
        <v>-110.229</v>
      </c>
      <c r="D688">
        <v>-110.229</v>
      </c>
      <c r="E688">
        <v>0.64671599999999996</v>
      </c>
      <c r="F688" t="s">
        <v>16</v>
      </c>
    </row>
    <row r="689" spans="1:6" x14ac:dyDescent="0.25">
      <c r="A689" t="s">
        <v>896</v>
      </c>
      <c r="B689">
        <v>1.285444</v>
      </c>
      <c r="C689">
        <v>-110.21</v>
      </c>
      <c r="D689">
        <v>-135.797</v>
      </c>
      <c r="E689">
        <v>0.65846400000000005</v>
      </c>
      <c r="F689" t="s">
        <v>13</v>
      </c>
    </row>
    <row r="690" spans="1:6" x14ac:dyDescent="0.25">
      <c r="A690" t="s">
        <v>897</v>
      </c>
      <c r="B690">
        <v>1.245746</v>
      </c>
      <c r="C690">
        <v>-110.196</v>
      </c>
      <c r="D690">
        <v>-110.196</v>
      </c>
      <c r="E690">
        <v>0.64098699999999997</v>
      </c>
      <c r="F690" t="s">
        <v>69</v>
      </c>
    </row>
    <row r="691" spans="1:6" x14ac:dyDescent="0.25">
      <c r="A691" t="s">
        <v>898</v>
      </c>
      <c r="B691">
        <v>1.250041</v>
      </c>
      <c r="C691">
        <v>-110.182</v>
      </c>
      <c r="D691">
        <v>-142.70699999999999</v>
      </c>
      <c r="E691">
        <v>0.64296799999999998</v>
      </c>
      <c r="F691" t="s">
        <v>13</v>
      </c>
    </row>
    <row r="692" spans="1:6" x14ac:dyDescent="0.25">
      <c r="A692" t="s">
        <v>899</v>
      </c>
      <c r="B692">
        <v>1.2335560000000001</v>
      </c>
      <c r="C692">
        <v>-110.17100000000001</v>
      </c>
      <c r="D692">
        <v>-133.864</v>
      </c>
      <c r="E692">
        <v>0.62927999999999995</v>
      </c>
      <c r="F692" t="s">
        <v>26</v>
      </c>
    </row>
    <row r="693" spans="1:6" x14ac:dyDescent="0.25">
      <c r="A693" t="s">
        <v>900</v>
      </c>
      <c r="B693">
        <v>1.1899550000000001</v>
      </c>
      <c r="C693">
        <v>-110.164</v>
      </c>
      <c r="D693">
        <v>-134.52799999999999</v>
      </c>
      <c r="E693">
        <v>0.607124</v>
      </c>
      <c r="F693" t="s">
        <v>24</v>
      </c>
    </row>
    <row r="694" spans="1:6" x14ac:dyDescent="0.25">
      <c r="A694" t="s">
        <v>901</v>
      </c>
      <c r="B694">
        <v>1.269101</v>
      </c>
      <c r="C694">
        <v>-110.16</v>
      </c>
      <c r="D694">
        <v>-134.44800000000001</v>
      </c>
      <c r="E694">
        <v>0.65202400000000005</v>
      </c>
      <c r="F694" t="s">
        <v>211</v>
      </c>
    </row>
    <row r="695" spans="1:6" x14ac:dyDescent="0.25">
      <c r="A695" t="s">
        <v>902</v>
      </c>
      <c r="B695">
        <v>1.2668539999999999</v>
      </c>
      <c r="C695">
        <v>-110.15600000000001</v>
      </c>
      <c r="D695">
        <v>-133.417</v>
      </c>
      <c r="E695">
        <v>0.65088800000000002</v>
      </c>
      <c r="F695" t="s">
        <v>19</v>
      </c>
    </row>
    <row r="696" spans="1:6" x14ac:dyDescent="0.25">
      <c r="A696" t="s">
        <v>903</v>
      </c>
      <c r="B696">
        <v>1.2884659999999999</v>
      </c>
      <c r="C696">
        <v>-110.155</v>
      </c>
      <c r="D696">
        <v>-136.90700000000001</v>
      </c>
      <c r="E696">
        <v>0.65971500000000005</v>
      </c>
      <c r="F696" t="s">
        <v>8</v>
      </c>
    </row>
    <row r="697" spans="1:6" x14ac:dyDescent="0.25">
      <c r="A697" t="s">
        <v>904</v>
      </c>
      <c r="B697">
        <v>1.268521</v>
      </c>
      <c r="C697">
        <v>-110.15300000000001</v>
      </c>
      <c r="D697">
        <v>-133.77000000000001</v>
      </c>
      <c r="E697">
        <v>0.65303</v>
      </c>
      <c r="F697" t="s">
        <v>19</v>
      </c>
    </row>
    <row r="698" spans="1:6" x14ac:dyDescent="0.25">
      <c r="A698" t="s">
        <v>905</v>
      </c>
      <c r="B698">
        <v>1.2443580000000001</v>
      </c>
      <c r="C698">
        <v>-110.14400000000001</v>
      </c>
      <c r="D698">
        <v>-110.14400000000001</v>
      </c>
      <c r="E698">
        <v>0.63721799999999995</v>
      </c>
      <c r="F698" t="s">
        <v>57</v>
      </c>
    </row>
    <row r="699" spans="1:6" x14ac:dyDescent="0.25">
      <c r="A699" t="s">
        <v>906</v>
      </c>
      <c r="B699">
        <v>1.29054</v>
      </c>
      <c r="C699">
        <v>-110.13</v>
      </c>
      <c r="D699">
        <v>-134.214</v>
      </c>
      <c r="E699">
        <v>0.66679299999999997</v>
      </c>
      <c r="F699" t="s">
        <v>19</v>
      </c>
    </row>
    <row r="700" spans="1:6" x14ac:dyDescent="0.25">
      <c r="A700" t="s">
        <v>907</v>
      </c>
      <c r="B700">
        <v>1.255341</v>
      </c>
      <c r="C700">
        <v>-110.127</v>
      </c>
      <c r="D700">
        <v>-133.87700000000001</v>
      </c>
      <c r="E700">
        <v>0.64394600000000002</v>
      </c>
      <c r="F700" t="s">
        <v>211</v>
      </c>
    </row>
    <row r="701" spans="1:6" x14ac:dyDescent="0.25">
      <c r="A701" t="s">
        <v>908</v>
      </c>
      <c r="B701">
        <v>1.2510840000000001</v>
      </c>
      <c r="C701">
        <v>-110.092</v>
      </c>
      <c r="D701">
        <v>-133.274</v>
      </c>
      <c r="E701">
        <v>0.642594</v>
      </c>
      <c r="F701" t="s">
        <v>24</v>
      </c>
    </row>
    <row r="702" spans="1:6" x14ac:dyDescent="0.25">
      <c r="A702" t="s">
        <v>909</v>
      </c>
      <c r="B702">
        <v>1.2554209999999999</v>
      </c>
      <c r="C702">
        <v>-110.087</v>
      </c>
      <c r="D702">
        <v>-110.087</v>
      </c>
      <c r="E702">
        <v>0.64470799999999995</v>
      </c>
      <c r="F702" t="s">
        <v>11</v>
      </c>
    </row>
    <row r="703" spans="1:6" x14ac:dyDescent="0.25">
      <c r="A703" t="s">
        <v>910</v>
      </c>
      <c r="B703">
        <v>1.2726409999999999</v>
      </c>
      <c r="C703">
        <v>-110.075</v>
      </c>
      <c r="D703">
        <v>-135.30199999999999</v>
      </c>
      <c r="E703">
        <v>0.65278000000000003</v>
      </c>
      <c r="F703" t="s">
        <v>11</v>
      </c>
    </row>
    <row r="704" spans="1:6" x14ac:dyDescent="0.25">
      <c r="A704" t="s">
        <v>911</v>
      </c>
      <c r="B704">
        <v>1.254262</v>
      </c>
      <c r="C704">
        <v>-110.068</v>
      </c>
      <c r="D704">
        <v>-133.399</v>
      </c>
      <c r="E704">
        <v>0.64252500000000001</v>
      </c>
      <c r="F704" t="s">
        <v>13</v>
      </c>
    </row>
    <row r="705" spans="1:6" x14ac:dyDescent="0.25">
      <c r="A705" t="s">
        <v>912</v>
      </c>
      <c r="B705">
        <v>1.2671349999999999</v>
      </c>
      <c r="C705">
        <v>-110.06399999999999</v>
      </c>
      <c r="D705">
        <v>-134.79900000000001</v>
      </c>
      <c r="E705">
        <v>0.64871500000000004</v>
      </c>
      <c r="F705" t="s">
        <v>13</v>
      </c>
    </row>
    <row r="706" spans="1:6" x14ac:dyDescent="0.25">
      <c r="A706" t="s">
        <v>913</v>
      </c>
      <c r="B706">
        <v>1.257379</v>
      </c>
      <c r="C706">
        <v>-110.05500000000001</v>
      </c>
      <c r="D706">
        <v>-133.577</v>
      </c>
      <c r="E706">
        <v>0.64268099999999995</v>
      </c>
      <c r="F706" t="s">
        <v>49</v>
      </c>
    </row>
    <row r="707" spans="1:6" x14ac:dyDescent="0.25">
      <c r="A707" t="s">
        <v>914</v>
      </c>
      <c r="B707">
        <v>1.2404440000000001</v>
      </c>
      <c r="C707">
        <v>-110.05200000000001</v>
      </c>
      <c r="D707">
        <v>-134.19499999999999</v>
      </c>
      <c r="E707">
        <v>0.63625100000000001</v>
      </c>
      <c r="F707" t="s">
        <v>57</v>
      </c>
    </row>
    <row r="708" spans="1:6" x14ac:dyDescent="0.25">
      <c r="A708" t="s">
        <v>915</v>
      </c>
      <c r="B708">
        <v>1.276267</v>
      </c>
      <c r="C708">
        <v>-110.048</v>
      </c>
      <c r="D708">
        <v>-134.35900000000001</v>
      </c>
      <c r="E708">
        <v>0.65367900000000001</v>
      </c>
      <c r="F708" t="s">
        <v>194</v>
      </c>
    </row>
    <row r="709" spans="1:6" x14ac:dyDescent="0.25">
      <c r="A709" t="s">
        <v>916</v>
      </c>
      <c r="B709">
        <v>1.244991</v>
      </c>
      <c r="C709">
        <v>-110.04600000000001</v>
      </c>
      <c r="D709">
        <v>-134.27600000000001</v>
      </c>
      <c r="E709">
        <v>0.63941000000000003</v>
      </c>
      <c r="F709" t="s">
        <v>57</v>
      </c>
    </row>
    <row r="710" spans="1:6" x14ac:dyDescent="0.25">
      <c r="A710" t="s">
        <v>917</v>
      </c>
      <c r="B710">
        <v>1.2499290000000001</v>
      </c>
      <c r="C710">
        <v>-110.04600000000001</v>
      </c>
      <c r="D710">
        <v>-133.84800000000001</v>
      </c>
      <c r="E710">
        <v>0.63902999999999999</v>
      </c>
      <c r="F710" t="s">
        <v>57</v>
      </c>
    </row>
    <row r="711" spans="1:6" x14ac:dyDescent="0.25">
      <c r="A711" t="s">
        <v>918</v>
      </c>
      <c r="B711">
        <v>1.2526269999999999</v>
      </c>
      <c r="C711">
        <v>-110.045</v>
      </c>
      <c r="D711">
        <v>-133.65100000000001</v>
      </c>
      <c r="E711">
        <v>0.64277099999999998</v>
      </c>
      <c r="F711" t="s">
        <v>11</v>
      </c>
    </row>
    <row r="712" spans="1:6" x14ac:dyDescent="0.25">
      <c r="A712" t="s">
        <v>919</v>
      </c>
      <c r="B712">
        <v>1.286732</v>
      </c>
      <c r="C712">
        <v>-110.044</v>
      </c>
      <c r="D712">
        <v>-133.47</v>
      </c>
      <c r="E712">
        <v>0.66103999999999996</v>
      </c>
      <c r="F712" t="s">
        <v>24</v>
      </c>
    </row>
    <row r="713" spans="1:6" x14ac:dyDescent="0.25">
      <c r="A713" t="s">
        <v>920</v>
      </c>
      <c r="B713">
        <v>1.238551</v>
      </c>
      <c r="C713">
        <v>-110.04300000000001</v>
      </c>
      <c r="D713">
        <v>-133.315</v>
      </c>
      <c r="E713">
        <v>0.63201700000000005</v>
      </c>
      <c r="F713" t="s">
        <v>201</v>
      </c>
    </row>
    <row r="714" spans="1:6" x14ac:dyDescent="0.25">
      <c r="A714" t="s">
        <v>921</v>
      </c>
      <c r="B714">
        <v>1.255917</v>
      </c>
      <c r="C714">
        <v>-110.039</v>
      </c>
      <c r="D714">
        <v>-133.78399999999999</v>
      </c>
      <c r="E714">
        <v>0.64321200000000001</v>
      </c>
      <c r="F714" t="s">
        <v>13</v>
      </c>
    </row>
    <row r="715" spans="1:6" x14ac:dyDescent="0.25">
      <c r="A715" t="s">
        <v>922</v>
      </c>
      <c r="B715">
        <v>1.2472399999999999</v>
      </c>
      <c r="C715">
        <v>-110.039</v>
      </c>
      <c r="D715">
        <v>-134.83000000000001</v>
      </c>
      <c r="E715">
        <v>0.64016399999999996</v>
      </c>
      <c r="F715" t="s">
        <v>24</v>
      </c>
    </row>
    <row r="716" spans="1:6" x14ac:dyDescent="0.25">
      <c r="A716" t="s">
        <v>923</v>
      </c>
      <c r="B716">
        <v>1.2295149999999999</v>
      </c>
      <c r="C716">
        <v>-110.035</v>
      </c>
      <c r="D716">
        <v>-135.149</v>
      </c>
      <c r="E716">
        <v>0.62844900000000004</v>
      </c>
      <c r="F716" t="s">
        <v>57</v>
      </c>
    </row>
    <row r="717" spans="1:6" x14ac:dyDescent="0.25">
      <c r="A717" t="s">
        <v>924</v>
      </c>
      <c r="B717">
        <v>1.271909</v>
      </c>
      <c r="C717">
        <v>-110.03</v>
      </c>
      <c r="D717">
        <v>-137.43600000000001</v>
      </c>
      <c r="E717">
        <v>0.65350200000000003</v>
      </c>
      <c r="F717" t="s">
        <v>925</v>
      </c>
    </row>
    <row r="718" spans="1:6" x14ac:dyDescent="0.25">
      <c r="A718" t="s">
        <v>926</v>
      </c>
      <c r="B718">
        <v>1.2056450000000001</v>
      </c>
      <c r="C718">
        <v>-110.023</v>
      </c>
      <c r="D718">
        <v>-133.31899999999999</v>
      </c>
      <c r="E718">
        <v>0.61738099999999996</v>
      </c>
      <c r="F718" t="s">
        <v>49</v>
      </c>
    </row>
    <row r="719" spans="1:6" x14ac:dyDescent="0.25">
      <c r="A719" t="s">
        <v>927</v>
      </c>
      <c r="B719">
        <v>1.2617130000000001</v>
      </c>
      <c r="C719">
        <v>-110.02200000000001</v>
      </c>
      <c r="D719">
        <v>-135.6</v>
      </c>
      <c r="E719">
        <v>0.65059999999999996</v>
      </c>
      <c r="F719" t="s">
        <v>194</v>
      </c>
    </row>
    <row r="720" spans="1:6" x14ac:dyDescent="0.25">
      <c r="A720" t="s">
        <v>928</v>
      </c>
      <c r="B720" t="s">
        <v>929</v>
      </c>
      <c r="C720">
        <f>-110.013 -118.115</f>
        <v>-228.12799999999999</v>
      </c>
      <c r="D720">
        <f>-133.677 -140.85</f>
        <v>-274.52699999999999</v>
      </c>
      <c r="E720" t="s">
        <v>930</v>
      </c>
      <c r="F720" t="s">
        <v>31</v>
      </c>
    </row>
    <row r="721" spans="1:6" x14ac:dyDescent="0.25">
      <c r="A721" t="s">
        <v>931</v>
      </c>
      <c r="B721">
        <v>1.2066129999999999</v>
      </c>
      <c r="C721">
        <v>-110.01</v>
      </c>
      <c r="D721">
        <v>-134.59700000000001</v>
      </c>
      <c r="E721">
        <v>0.61868500000000004</v>
      </c>
      <c r="F721" t="s">
        <v>169</v>
      </c>
    </row>
    <row r="722" spans="1:6" x14ac:dyDescent="0.25">
      <c r="A722" t="s">
        <v>932</v>
      </c>
      <c r="B722" t="s">
        <v>933</v>
      </c>
      <c r="C722">
        <f>-110.008 -106.607</f>
        <v>-216.61500000000001</v>
      </c>
      <c r="D722">
        <f>-134.791 -131.398</f>
        <v>-266.18899999999996</v>
      </c>
      <c r="E722" t="s">
        <v>934</v>
      </c>
      <c r="F722" t="s">
        <v>37</v>
      </c>
    </row>
    <row r="723" spans="1:6" x14ac:dyDescent="0.25">
      <c r="A723" t="s">
        <v>935</v>
      </c>
      <c r="B723">
        <v>1.2744</v>
      </c>
      <c r="C723">
        <v>-110.002</v>
      </c>
      <c r="D723">
        <v>-137.13800000000001</v>
      </c>
      <c r="E723">
        <v>0.65676000000000001</v>
      </c>
      <c r="F723" t="s">
        <v>591</v>
      </c>
    </row>
    <row r="724" spans="1:6" x14ac:dyDescent="0.25">
      <c r="A724" t="s">
        <v>936</v>
      </c>
      <c r="B724">
        <v>1.2635339999999999</v>
      </c>
      <c r="C724">
        <v>-109.992</v>
      </c>
      <c r="D724">
        <v>-134.31299999999999</v>
      </c>
      <c r="E724">
        <v>0.64788900000000005</v>
      </c>
      <c r="F724" t="s">
        <v>24</v>
      </c>
    </row>
    <row r="725" spans="1:6" x14ac:dyDescent="0.25">
      <c r="A725" t="s">
        <v>937</v>
      </c>
      <c r="B725" t="s">
        <v>938</v>
      </c>
      <c r="C725">
        <f>-109.973 -109.243</f>
        <v>-219.21600000000001</v>
      </c>
      <c r="D725">
        <f>-134.326 -109.243</f>
        <v>-243.56899999999999</v>
      </c>
      <c r="E725" t="s">
        <v>939</v>
      </c>
      <c r="F725" t="s">
        <v>187</v>
      </c>
    </row>
    <row r="726" spans="1:6" x14ac:dyDescent="0.25">
      <c r="A726" t="s">
        <v>940</v>
      </c>
      <c r="B726">
        <v>1.297031</v>
      </c>
      <c r="C726">
        <v>-109.97199999999999</v>
      </c>
      <c r="D726">
        <v>-135.38499999999999</v>
      </c>
      <c r="E726">
        <v>0.66596500000000003</v>
      </c>
      <c r="F726" t="s">
        <v>8</v>
      </c>
    </row>
    <row r="727" spans="1:6" x14ac:dyDescent="0.25">
      <c r="A727" t="s">
        <v>941</v>
      </c>
      <c r="B727">
        <v>1.247385</v>
      </c>
      <c r="C727">
        <v>-109.97</v>
      </c>
      <c r="D727">
        <v>-134.31299999999999</v>
      </c>
      <c r="E727">
        <v>0.63761500000000004</v>
      </c>
      <c r="F727" t="s">
        <v>24</v>
      </c>
    </row>
    <row r="728" spans="1:6" x14ac:dyDescent="0.25">
      <c r="A728" t="s">
        <v>942</v>
      </c>
      <c r="B728" t="s">
        <v>943</v>
      </c>
      <c r="C728">
        <f>-109.949 -116.105</f>
        <v>-226.054</v>
      </c>
      <c r="D728">
        <f>-133.122 -139.466</f>
        <v>-272.58800000000002</v>
      </c>
      <c r="E728" t="s">
        <v>944</v>
      </c>
      <c r="F728" t="s">
        <v>31</v>
      </c>
    </row>
    <row r="729" spans="1:6" x14ac:dyDescent="0.25">
      <c r="A729" t="s">
        <v>945</v>
      </c>
      <c r="B729">
        <v>1.2107589999999999</v>
      </c>
      <c r="C729">
        <v>-109.941</v>
      </c>
      <c r="D729">
        <v>-134.38900000000001</v>
      </c>
      <c r="E729">
        <v>0.62064200000000003</v>
      </c>
      <c r="F729" t="s">
        <v>49</v>
      </c>
    </row>
    <row r="730" spans="1:6" x14ac:dyDescent="0.25">
      <c r="A730" t="s">
        <v>946</v>
      </c>
      <c r="B730">
        <v>1.2588699999999999</v>
      </c>
      <c r="C730">
        <v>-109.938</v>
      </c>
      <c r="D730">
        <v>-133.62799999999999</v>
      </c>
      <c r="E730">
        <v>0.64332</v>
      </c>
      <c r="F730" t="s">
        <v>13</v>
      </c>
    </row>
    <row r="731" spans="1:6" x14ac:dyDescent="0.25">
      <c r="A731" t="s">
        <v>947</v>
      </c>
      <c r="B731" t="s">
        <v>948</v>
      </c>
      <c r="C731">
        <f>-109.926 -108.385</f>
        <v>-218.31100000000001</v>
      </c>
      <c r="D731">
        <f>-134.044 -131.907</f>
        <v>-265.95100000000002</v>
      </c>
      <c r="E731" t="s">
        <v>949</v>
      </c>
      <c r="F731" t="s">
        <v>87</v>
      </c>
    </row>
    <row r="732" spans="1:6" x14ac:dyDescent="0.25">
      <c r="A732" t="s">
        <v>950</v>
      </c>
      <c r="B732">
        <v>1.259822</v>
      </c>
      <c r="C732">
        <v>-109.91800000000001</v>
      </c>
      <c r="D732">
        <v>-109.91800000000001</v>
      </c>
      <c r="E732">
        <v>0.64757500000000001</v>
      </c>
      <c r="F732" t="s">
        <v>140</v>
      </c>
    </row>
    <row r="733" spans="1:6" x14ac:dyDescent="0.25">
      <c r="A733" t="s">
        <v>951</v>
      </c>
      <c r="B733">
        <v>1.269665</v>
      </c>
      <c r="C733">
        <v>-109.916</v>
      </c>
      <c r="D733">
        <v>-109.916</v>
      </c>
      <c r="E733">
        <v>0.65061999999999998</v>
      </c>
      <c r="F733" t="s">
        <v>22</v>
      </c>
    </row>
    <row r="734" spans="1:6" x14ac:dyDescent="0.25">
      <c r="A734" t="s">
        <v>952</v>
      </c>
      <c r="B734">
        <v>1.264516</v>
      </c>
      <c r="C734">
        <v>-109.91500000000001</v>
      </c>
      <c r="D734">
        <v>-133.9</v>
      </c>
      <c r="E734">
        <v>0.64946099999999996</v>
      </c>
      <c r="F734" t="s">
        <v>57</v>
      </c>
    </row>
    <row r="735" spans="1:6" x14ac:dyDescent="0.25">
      <c r="A735" t="s">
        <v>953</v>
      </c>
      <c r="B735">
        <v>1.2231510000000001</v>
      </c>
      <c r="C735">
        <v>-109.91</v>
      </c>
      <c r="D735">
        <v>-135.01900000000001</v>
      </c>
      <c r="E735">
        <v>0.627332</v>
      </c>
      <c r="F735" t="s">
        <v>13</v>
      </c>
    </row>
    <row r="736" spans="1:6" x14ac:dyDescent="0.25">
      <c r="A736" t="s">
        <v>954</v>
      </c>
      <c r="B736">
        <v>1.2618180000000001</v>
      </c>
      <c r="C736">
        <v>-109.892</v>
      </c>
      <c r="D736">
        <v>-109.892</v>
      </c>
      <c r="E736">
        <v>0.64502800000000005</v>
      </c>
      <c r="F736" t="s">
        <v>13</v>
      </c>
    </row>
    <row r="737" spans="1:6" x14ac:dyDescent="0.25">
      <c r="A737" t="s">
        <v>955</v>
      </c>
      <c r="B737">
        <v>1.272365</v>
      </c>
      <c r="C737">
        <v>-109.89</v>
      </c>
      <c r="D737">
        <v>-133.63499999999999</v>
      </c>
      <c r="E737">
        <v>0.65351700000000001</v>
      </c>
      <c r="F737" t="s">
        <v>24</v>
      </c>
    </row>
    <row r="738" spans="1:6" x14ac:dyDescent="0.25">
      <c r="A738" t="s">
        <v>956</v>
      </c>
      <c r="B738">
        <v>1.2162310000000001</v>
      </c>
      <c r="C738">
        <v>-109.872</v>
      </c>
      <c r="D738">
        <v>-131.85499999999999</v>
      </c>
      <c r="E738">
        <v>0.62538499999999997</v>
      </c>
      <c r="F738" t="s">
        <v>16</v>
      </c>
    </row>
    <row r="739" spans="1:6" x14ac:dyDescent="0.25">
      <c r="A739" t="s">
        <v>957</v>
      </c>
      <c r="B739">
        <v>1.2406710000000001</v>
      </c>
      <c r="C739">
        <v>-109.871</v>
      </c>
      <c r="D739">
        <v>-109.871</v>
      </c>
      <c r="E739">
        <v>0.63719300000000001</v>
      </c>
      <c r="F739" t="s">
        <v>8</v>
      </c>
    </row>
    <row r="740" spans="1:6" x14ac:dyDescent="0.25">
      <c r="A740" t="s">
        <v>958</v>
      </c>
      <c r="B740" t="s">
        <v>959</v>
      </c>
      <c r="C740">
        <f>-109.863 -109.178</f>
        <v>-219.041</v>
      </c>
      <c r="D740">
        <f>-132.883 -131.177</f>
        <v>-264.06</v>
      </c>
      <c r="E740" t="s">
        <v>960</v>
      </c>
      <c r="F740" t="s">
        <v>94</v>
      </c>
    </row>
    <row r="741" spans="1:6" x14ac:dyDescent="0.25">
      <c r="A741" t="s">
        <v>961</v>
      </c>
      <c r="B741">
        <v>1.2530110000000001</v>
      </c>
      <c r="C741">
        <v>-109.863</v>
      </c>
      <c r="D741">
        <v>-133.756</v>
      </c>
      <c r="E741">
        <v>0.63977799999999996</v>
      </c>
      <c r="F741" t="s">
        <v>19</v>
      </c>
    </row>
    <row r="742" spans="1:6" x14ac:dyDescent="0.25">
      <c r="A742" t="s">
        <v>962</v>
      </c>
      <c r="B742">
        <v>1.283182</v>
      </c>
      <c r="C742">
        <v>-109.857</v>
      </c>
      <c r="D742">
        <v>-133.084</v>
      </c>
      <c r="E742">
        <v>0.65851400000000004</v>
      </c>
      <c r="F742" t="s">
        <v>201</v>
      </c>
    </row>
    <row r="743" spans="1:6" x14ac:dyDescent="0.25">
      <c r="A743" t="s">
        <v>963</v>
      </c>
      <c r="B743">
        <v>1.282454</v>
      </c>
      <c r="C743">
        <v>-109.855</v>
      </c>
      <c r="D743">
        <v>-131.405</v>
      </c>
      <c r="E743">
        <v>0.65786599999999995</v>
      </c>
      <c r="F743" t="s">
        <v>16</v>
      </c>
    </row>
    <row r="744" spans="1:6" x14ac:dyDescent="0.25">
      <c r="A744" t="s">
        <v>964</v>
      </c>
      <c r="B744">
        <v>1.2478119999999999</v>
      </c>
      <c r="C744">
        <v>-109.85</v>
      </c>
      <c r="D744">
        <v>-133.14699999999999</v>
      </c>
      <c r="E744">
        <v>0.64156999999999997</v>
      </c>
      <c r="F744" t="s">
        <v>13</v>
      </c>
    </row>
    <row r="745" spans="1:6" x14ac:dyDescent="0.25">
      <c r="A745" t="s">
        <v>965</v>
      </c>
      <c r="B745">
        <v>1.261622</v>
      </c>
      <c r="C745">
        <v>-109.85</v>
      </c>
      <c r="D745">
        <v>-134.619</v>
      </c>
      <c r="E745">
        <v>0.647899</v>
      </c>
      <c r="F745" t="s">
        <v>11</v>
      </c>
    </row>
    <row r="746" spans="1:6" x14ac:dyDescent="0.25">
      <c r="A746" t="s">
        <v>966</v>
      </c>
      <c r="B746">
        <v>1.2583169999999999</v>
      </c>
      <c r="C746">
        <v>-109.842</v>
      </c>
      <c r="D746">
        <v>-135.19</v>
      </c>
      <c r="E746">
        <v>0.64512899999999995</v>
      </c>
      <c r="F746" t="s">
        <v>194</v>
      </c>
    </row>
    <row r="747" spans="1:6" x14ac:dyDescent="0.25">
      <c r="A747" t="s">
        <v>967</v>
      </c>
      <c r="B747" t="s">
        <v>968</v>
      </c>
      <c r="C747">
        <f>-109.835 -110.267</f>
        <v>-220.10199999999998</v>
      </c>
      <c r="D747">
        <f>-133.782 -110.267</f>
        <v>-244.04900000000001</v>
      </c>
      <c r="E747" t="s">
        <v>969</v>
      </c>
      <c r="F747" t="s">
        <v>31</v>
      </c>
    </row>
    <row r="748" spans="1:6" x14ac:dyDescent="0.25">
      <c r="A748" t="s">
        <v>970</v>
      </c>
      <c r="B748">
        <v>1.2580519999999999</v>
      </c>
      <c r="C748">
        <v>-109.818</v>
      </c>
      <c r="D748">
        <v>-134.262</v>
      </c>
      <c r="E748">
        <v>0.64997199999999999</v>
      </c>
      <c r="F748" t="s">
        <v>26</v>
      </c>
    </row>
    <row r="749" spans="1:6" x14ac:dyDescent="0.25">
      <c r="A749" t="s">
        <v>971</v>
      </c>
      <c r="B749">
        <v>1.2344919999999999</v>
      </c>
      <c r="C749">
        <v>-109.81699999999999</v>
      </c>
      <c r="D749">
        <v>-131.988</v>
      </c>
      <c r="E749">
        <v>0.62772799999999995</v>
      </c>
      <c r="F749" t="s">
        <v>26</v>
      </c>
    </row>
    <row r="750" spans="1:6" x14ac:dyDescent="0.25">
      <c r="A750" t="s">
        <v>972</v>
      </c>
      <c r="B750">
        <v>1.2905450000000001</v>
      </c>
      <c r="C750">
        <v>-109.783</v>
      </c>
      <c r="D750">
        <v>-131.53</v>
      </c>
      <c r="E750">
        <v>0.66470499999999999</v>
      </c>
      <c r="F750" t="s">
        <v>16</v>
      </c>
    </row>
    <row r="751" spans="1:6" x14ac:dyDescent="0.25">
      <c r="A751" t="s">
        <v>973</v>
      </c>
      <c r="B751">
        <v>1.219123</v>
      </c>
      <c r="C751">
        <v>-109.777</v>
      </c>
      <c r="D751">
        <v>-135.15</v>
      </c>
      <c r="E751">
        <v>0.62526700000000002</v>
      </c>
      <c r="F751" t="s">
        <v>262</v>
      </c>
    </row>
    <row r="752" spans="1:6" x14ac:dyDescent="0.25">
      <c r="A752" t="s">
        <v>974</v>
      </c>
      <c r="B752" t="s">
        <v>975</v>
      </c>
      <c r="C752">
        <f>-109.759 -112.434</f>
        <v>-222.19299999999998</v>
      </c>
      <c r="D752">
        <f>-133.566 -135.714</f>
        <v>-269.27999999999997</v>
      </c>
      <c r="E752" t="s">
        <v>976</v>
      </c>
      <c r="F752" t="s">
        <v>87</v>
      </c>
    </row>
    <row r="753" spans="1:6" x14ac:dyDescent="0.25">
      <c r="A753" t="s">
        <v>977</v>
      </c>
      <c r="B753">
        <v>1.2652540000000001</v>
      </c>
      <c r="C753">
        <v>-109.758</v>
      </c>
      <c r="D753">
        <v>-109.758</v>
      </c>
      <c r="E753">
        <v>0.64858800000000005</v>
      </c>
      <c r="F753" t="s">
        <v>169</v>
      </c>
    </row>
    <row r="754" spans="1:6" x14ac:dyDescent="0.25">
      <c r="A754" t="s">
        <v>978</v>
      </c>
      <c r="B754">
        <v>1.2218359999999999</v>
      </c>
      <c r="C754">
        <v>-109.756</v>
      </c>
      <c r="D754">
        <v>-133.38499999999999</v>
      </c>
      <c r="E754">
        <v>0.626884</v>
      </c>
      <c r="F754" t="s">
        <v>19</v>
      </c>
    </row>
    <row r="755" spans="1:6" x14ac:dyDescent="0.25">
      <c r="A755" t="s">
        <v>979</v>
      </c>
      <c r="B755">
        <v>1.2447299999999999</v>
      </c>
      <c r="C755">
        <v>-109.74299999999999</v>
      </c>
      <c r="D755">
        <v>-109.74299999999999</v>
      </c>
      <c r="E755">
        <v>0.63777399999999995</v>
      </c>
      <c r="F755" t="s">
        <v>8</v>
      </c>
    </row>
    <row r="756" spans="1:6" x14ac:dyDescent="0.25">
      <c r="A756" t="s">
        <v>980</v>
      </c>
      <c r="B756">
        <v>1.268732</v>
      </c>
      <c r="C756">
        <v>-109.739</v>
      </c>
      <c r="D756">
        <v>-135.292</v>
      </c>
      <c r="E756">
        <v>0.65053899999999998</v>
      </c>
      <c r="F756" t="s">
        <v>22</v>
      </c>
    </row>
    <row r="757" spans="1:6" x14ac:dyDescent="0.25">
      <c r="A757" t="s">
        <v>981</v>
      </c>
      <c r="B757">
        <v>1.213241</v>
      </c>
      <c r="C757">
        <v>-109.73099999999999</v>
      </c>
      <c r="D757">
        <v>-134.601</v>
      </c>
      <c r="E757">
        <v>0.62034900000000004</v>
      </c>
      <c r="F757" t="s">
        <v>11</v>
      </c>
    </row>
    <row r="758" spans="1:6" x14ac:dyDescent="0.25">
      <c r="A758" t="s">
        <v>982</v>
      </c>
      <c r="B758" t="s">
        <v>983</v>
      </c>
      <c r="C758">
        <f>-109.722 -118.373</f>
        <v>-228.095</v>
      </c>
      <c r="D758">
        <f>-132.754 -142.214</f>
        <v>-274.96799999999996</v>
      </c>
      <c r="E758" t="s">
        <v>984</v>
      </c>
      <c r="F758" t="s">
        <v>77</v>
      </c>
    </row>
    <row r="759" spans="1:6" x14ac:dyDescent="0.25">
      <c r="A759" t="s">
        <v>985</v>
      </c>
      <c r="B759">
        <v>1.3110040000000001</v>
      </c>
      <c r="C759">
        <v>-109.715</v>
      </c>
      <c r="D759">
        <v>-133.554</v>
      </c>
      <c r="E759">
        <v>0.67414300000000005</v>
      </c>
      <c r="F759" t="s">
        <v>986</v>
      </c>
    </row>
    <row r="760" spans="1:6" x14ac:dyDescent="0.25">
      <c r="A760" t="s">
        <v>987</v>
      </c>
      <c r="B760">
        <v>1.2464059999999999</v>
      </c>
      <c r="C760">
        <v>-109.709</v>
      </c>
      <c r="D760">
        <v>-135.81100000000001</v>
      </c>
      <c r="E760">
        <v>0.64075700000000002</v>
      </c>
      <c r="F760" t="s">
        <v>144</v>
      </c>
    </row>
    <row r="761" spans="1:6" x14ac:dyDescent="0.25">
      <c r="A761" t="s">
        <v>988</v>
      </c>
      <c r="B761">
        <v>1.195927</v>
      </c>
      <c r="C761">
        <v>-109.7</v>
      </c>
      <c r="D761">
        <v>-132.39599999999999</v>
      </c>
      <c r="E761">
        <v>0.61723899999999998</v>
      </c>
      <c r="F761" t="s">
        <v>19</v>
      </c>
    </row>
    <row r="762" spans="1:6" x14ac:dyDescent="0.25">
      <c r="A762" t="s">
        <v>989</v>
      </c>
      <c r="B762">
        <v>1.28931</v>
      </c>
      <c r="C762">
        <v>-109.69199999999999</v>
      </c>
      <c r="D762">
        <v>-134.929</v>
      </c>
      <c r="E762">
        <v>0.66060799999999997</v>
      </c>
      <c r="F762" t="s">
        <v>22</v>
      </c>
    </row>
    <row r="763" spans="1:6" x14ac:dyDescent="0.25">
      <c r="A763" t="s">
        <v>990</v>
      </c>
      <c r="B763">
        <v>1.281757</v>
      </c>
      <c r="C763">
        <v>-109.68600000000001</v>
      </c>
      <c r="D763">
        <v>-133.66</v>
      </c>
      <c r="E763">
        <v>0.65875099999999998</v>
      </c>
      <c r="F763" t="s">
        <v>13</v>
      </c>
    </row>
    <row r="764" spans="1:6" x14ac:dyDescent="0.25">
      <c r="A764" t="s">
        <v>991</v>
      </c>
      <c r="B764">
        <v>1.2401040000000001</v>
      </c>
      <c r="C764">
        <v>-109.679</v>
      </c>
      <c r="D764">
        <v>-132.703</v>
      </c>
      <c r="E764">
        <v>0.63368800000000003</v>
      </c>
      <c r="F764" t="s">
        <v>211</v>
      </c>
    </row>
    <row r="765" spans="1:6" x14ac:dyDescent="0.25">
      <c r="A765" t="s">
        <v>992</v>
      </c>
      <c r="B765">
        <v>1.261957</v>
      </c>
      <c r="C765">
        <v>-109.666</v>
      </c>
      <c r="D765">
        <v>-109.666</v>
      </c>
      <c r="E765">
        <v>0.64630699999999996</v>
      </c>
      <c r="F765" t="s">
        <v>49</v>
      </c>
    </row>
    <row r="766" spans="1:6" x14ac:dyDescent="0.25">
      <c r="A766" t="s">
        <v>993</v>
      </c>
      <c r="B766" t="s">
        <v>994</v>
      </c>
      <c r="C766">
        <f>-109.66 -110.151</f>
        <v>-219.81099999999998</v>
      </c>
      <c r="D766">
        <f>-132.803 -132.564</f>
        <v>-265.36699999999996</v>
      </c>
      <c r="E766" t="s">
        <v>995</v>
      </c>
      <c r="F766" t="s">
        <v>702</v>
      </c>
    </row>
    <row r="767" spans="1:6" x14ac:dyDescent="0.25">
      <c r="A767" t="s">
        <v>996</v>
      </c>
      <c r="B767">
        <v>1.246081</v>
      </c>
      <c r="C767">
        <v>-109.658</v>
      </c>
      <c r="D767">
        <v>-133.215</v>
      </c>
      <c r="E767">
        <v>0.63892599999999999</v>
      </c>
      <c r="F767" t="s">
        <v>13</v>
      </c>
    </row>
    <row r="768" spans="1:6" x14ac:dyDescent="0.25">
      <c r="A768" t="s">
        <v>997</v>
      </c>
      <c r="B768">
        <v>1.270006</v>
      </c>
      <c r="C768">
        <v>-109.658</v>
      </c>
      <c r="D768">
        <v>-134.61500000000001</v>
      </c>
      <c r="E768">
        <v>0.652586</v>
      </c>
      <c r="F768" t="s">
        <v>57</v>
      </c>
    </row>
    <row r="769" spans="1:6" x14ac:dyDescent="0.25">
      <c r="A769" t="s">
        <v>998</v>
      </c>
      <c r="B769">
        <v>1.220993</v>
      </c>
      <c r="C769">
        <v>-109.657</v>
      </c>
      <c r="D769">
        <v>-133.446</v>
      </c>
      <c r="E769">
        <v>0.62799899999999997</v>
      </c>
      <c r="F769" t="s">
        <v>194</v>
      </c>
    </row>
    <row r="770" spans="1:6" x14ac:dyDescent="0.25">
      <c r="A770" t="s">
        <v>999</v>
      </c>
      <c r="B770">
        <v>1.2546390000000001</v>
      </c>
      <c r="C770">
        <v>-109.657</v>
      </c>
      <c r="D770">
        <v>-132.94399999999999</v>
      </c>
      <c r="E770">
        <v>0.64123399999999997</v>
      </c>
      <c r="F770" t="s">
        <v>24</v>
      </c>
    </row>
    <row r="771" spans="1:6" x14ac:dyDescent="0.25">
      <c r="A771" t="s">
        <v>1000</v>
      </c>
      <c r="B771">
        <v>1.2789159999999999</v>
      </c>
      <c r="C771">
        <v>-109.65</v>
      </c>
      <c r="D771">
        <v>-134.52000000000001</v>
      </c>
      <c r="E771">
        <v>0.65764199999999995</v>
      </c>
      <c r="F771" t="s">
        <v>24</v>
      </c>
    </row>
    <row r="772" spans="1:6" x14ac:dyDescent="0.25">
      <c r="A772" t="s">
        <v>1001</v>
      </c>
      <c r="B772">
        <v>1.2565729999999999</v>
      </c>
      <c r="C772">
        <v>-109.65</v>
      </c>
      <c r="D772">
        <v>-132.08799999999999</v>
      </c>
      <c r="E772">
        <v>0.64383400000000002</v>
      </c>
      <c r="F772" t="s">
        <v>49</v>
      </c>
    </row>
    <row r="773" spans="1:6" x14ac:dyDescent="0.25">
      <c r="A773" t="s">
        <v>1002</v>
      </c>
      <c r="B773" t="s">
        <v>1003</v>
      </c>
      <c r="C773">
        <f>-109.647 -112.445</f>
        <v>-222.09199999999998</v>
      </c>
      <c r="D773">
        <f>-133.682 -135.857</f>
        <v>-269.53899999999999</v>
      </c>
      <c r="E773" t="s">
        <v>1004</v>
      </c>
      <c r="F773" t="s">
        <v>1005</v>
      </c>
    </row>
    <row r="774" spans="1:6" x14ac:dyDescent="0.25">
      <c r="A774" t="s">
        <v>1006</v>
      </c>
      <c r="B774" t="s">
        <v>1007</v>
      </c>
      <c r="C774">
        <f>-109.639 -115.015</f>
        <v>-224.654</v>
      </c>
      <c r="D774">
        <f>-133.88 -138.777</f>
        <v>-272.65699999999998</v>
      </c>
      <c r="E774" t="s">
        <v>1008</v>
      </c>
      <c r="F774" t="s">
        <v>37</v>
      </c>
    </row>
    <row r="775" spans="1:6" x14ac:dyDescent="0.25">
      <c r="A775" t="s">
        <v>1009</v>
      </c>
      <c r="B775">
        <v>1.2605249999999999</v>
      </c>
      <c r="C775">
        <v>-109.63</v>
      </c>
      <c r="D775">
        <v>-133.31800000000001</v>
      </c>
      <c r="E775">
        <v>0.64700299999999999</v>
      </c>
      <c r="F775" t="s">
        <v>19</v>
      </c>
    </row>
    <row r="776" spans="1:6" x14ac:dyDescent="0.25">
      <c r="A776" t="s">
        <v>1010</v>
      </c>
      <c r="B776">
        <v>1.2263090000000001</v>
      </c>
      <c r="C776">
        <v>-109.617</v>
      </c>
      <c r="D776">
        <v>-134.47900000000001</v>
      </c>
      <c r="E776">
        <v>0.62792999999999999</v>
      </c>
      <c r="F776" t="s">
        <v>49</v>
      </c>
    </row>
    <row r="777" spans="1:6" x14ac:dyDescent="0.25">
      <c r="A777" t="s">
        <v>1011</v>
      </c>
      <c r="B777">
        <v>1.206469</v>
      </c>
      <c r="C777">
        <v>-109.61</v>
      </c>
      <c r="D777">
        <v>-136.32599999999999</v>
      </c>
      <c r="E777">
        <v>0.62253499999999995</v>
      </c>
      <c r="F777" t="s">
        <v>13</v>
      </c>
    </row>
    <row r="778" spans="1:6" x14ac:dyDescent="0.25">
      <c r="A778" t="s">
        <v>1012</v>
      </c>
      <c r="B778">
        <v>1.278627</v>
      </c>
      <c r="C778">
        <v>-109.59099999999999</v>
      </c>
      <c r="D778">
        <v>-135.03399999999999</v>
      </c>
      <c r="E778">
        <v>0.65647500000000003</v>
      </c>
      <c r="F778" t="s">
        <v>11</v>
      </c>
    </row>
    <row r="779" spans="1:6" x14ac:dyDescent="0.25">
      <c r="A779" t="s">
        <v>1013</v>
      </c>
      <c r="B779" t="s">
        <v>1014</v>
      </c>
      <c r="C779">
        <f>-109.59 -106.797</f>
        <v>-216.387</v>
      </c>
      <c r="D779">
        <f>-109.59 -130.494</f>
        <v>-240.084</v>
      </c>
      <c r="E779" t="s">
        <v>1015</v>
      </c>
      <c r="F779" t="s">
        <v>94</v>
      </c>
    </row>
    <row r="780" spans="1:6" x14ac:dyDescent="0.25">
      <c r="A780" t="s">
        <v>1016</v>
      </c>
      <c r="B780">
        <v>1.245131</v>
      </c>
      <c r="C780">
        <v>-109.58799999999999</v>
      </c>
      <c r="D780">
        <v>-134.78299999999999</v>
      </c>
      <c r="E780">
        <v>0.639181</v>
      </c>
      <c r="F780" t="s">
        <v>13</v>
      </c>
    </row>
    <row r="781" spans="1:6" x14ac:dyDescent="0.25">
      <c r="A781" t="s">
        <v>1017</v>
      </c>
      <c r="B781">
        <v>1.237279</v>
      </c>
      <c r="C781">
        <v>-109.577</v>
      </c>
      <c r="D781">
        <v>-132.69999999999999</v>
      </c>
      <c r="E781">
        <v>0.63563999999999998</v>
      </c>
      <c r="F781" t="s">
        <v>24</v>
      </c>
    </row>
    <row r="782" spans="1:6" x14ac:dyDescent="0.25">
      <c r="A782" t="s">
        <v>1018</v>
      </c>
      <c r="B782" t="s">
        <v>1019</v>
      </c>
      <c r="C782">
        <f>-109.569 -110.725</f>
        <v>-220.29399999999998</v>
      </c>
      <c r="D782">
        <f>-109.569 -134.011</f>
        <v>-243.57999999999998</v>
      </c>
      <c r="E782" t="s">
        <v>1020</v>
      </c>
      <c r="F782" t="s">
        <v>94</v>
      </c>
    </row>
    <row r="783" spans="1:6" x14ac:dyDescent="0.25">
      <c r="A783" t="s">
        <v>1021</v>
      </c>
      <c r="B783">
        <v>1.258548</v>
      </c>
      <c r="C783">
        <v>-109.568</v>
      </c>
      <c r="D783">
        <v>-131.49600000000001</v>
      </c>
      <c r="E783">
        <v>0.64493</v>
      </c>
      <c r="F783" t="s">
        <v>26</v>
      </c>
    </row>
    <row r="784" spans="1:6" x14ac:dyDescent="0.25">
      <c r="A784" t="s">
        <v>1022</v>
      </c>
      <c r="B784">
        <v>1.2410909999999999</v>
      </c>
      <c r="C784">
        <v>-109.55800000000001</v>
      </c>
      <c r="D784">
        <v>-135.226</v>
      </c>
      <c r="E784">
        <v>0.634297</v>
      </c>
      <c r="F784" t="s">
        <v>13</v>
      </c>
    </row>
    <row r="785" spans="1:6" x14ac:dyDescent="0.25">
      <c r="A785" t="s">
        <v>1023</v>
      </c>
      <c r="B785">
        <v>1.2457320000000001</v>
      </c>
      <c r="C785">
        <v>-109.556</v>
      </c>
      <c r="D785">
        <v>-131.35900000000001</v>
      </c>
      <c r="E785">
        <v>0.63890100000000005</v>
      </c>
      <c r="F785" t="s">
        <v>26</v>
      </c>
    </row>
    <row r="786" spans="1:6" x14ac:dyDescent="0.25">
      <c r="A786" t="s">
        <v>1024</v>
      </c>
      <c r="B786">
        <v>1.250993</v>
      </c>
      <c r="C786">
        <v>-109.55500000000001</v>
      </c>
      <c r="D786">
        <v>-109.55500000000001</v>
      </c>
      <c r="E786">
        <v>0.64155700000000004</v>
      </c>
      <c r="F786" t="s">
        <v>140</v>
      </c>
    </row>
    <row r="787" spans="1:6" x14ac:dyDescent="0.25">
      <c r="A787" t="s">
        <v>1025</v>
      </c>
      <c r="B787">
        <v>1.300394</v>
      </c>
      <c r="C787">
        <v>-109.533</v>
      </c>
      <c r="D787">
        <v>-133.28899999999999</v>
      </c>
      <c r="E787">
        <v>0.66606100000000001</v>
      </c>
      <c r="F787" t="s">
        <v>26</v>
      </c>
    </row>
    <row r="788" spans="1:6" x14ac:dyDescent="0.25">
      <c r="A788" t="s">
        <v>1026</v>
      </c>
      <c r="B788">
        <v>1.274907</v>
      </c>
      <c r="C788">
        <v>-109.532</v>
      </c>
      <c r="D788">
        <v>-132.98599999999999</v>
      </c>
      <c r="E788">
        <v>0.65604899999999999</v>
      </c>
      <c r="F788" t="s">
        <v>26</v>
      </c>
    </row>
    <row r="789" spans="1:6" x14ac:dyDescent="0.25">
      <c r="A789" t="s">
        <v>1027</v>
      </c>
      <c r="B789">
        <v>1.261557</v>
      </c>
      <c r="C789">
        <v>-109.517</v>
      </c>
      <c r="D789">
        <v>-134.71600000000001</v>
      </c>
      <c r="E789">
        <v>0.64719300000000002</v>
      </c>
      <c r="F789" t="s">
        <v>13</v>
      </c>
    </row>
    <row r="790" spans="1:6" x14ac:dyDescent="0.25">
      <c r="A790" t="s">
        <v>1028</v>
      </c>
      <c r="B790">
        <v>1.253679</v>
      </c>
      <c r="C790">
        <v>-109.50700000000001</v>
      </c>
      <c r="D790">
        <v>-134.15899999999999</v>
      </c>
      <c r="E790">
        <v>0.64320200000000005</v>
      </c>
      <c r="F790" t="s">
        <v>57</v>
      </c>
    </row>
    <row r="791" spans="1:6" x14ac:dyDescent="0.25">
      <c r="A791" t="s">
        <v>1029</v>
      </c>
      <c r="B791" t="s">
        <v>1030</v>
      </c>
      <c r="C791">
        <f>-109.498 -114.317</f>
        <v>-223.815</v>
      </c>
      <c r="D791">
        <f>-132.914 -138.331</f>
        <v>-271.245</v>
      </c>
      <c r="E791" t="s">
        <v>1031</v>
      </c>
      <c r="F791" t="s">
        <v>31</v>
      </c>
    </row>
    <row r="792" spans="1:6" x14ac:dyDescent="0.25">
      <c r="A792" t="s">
        <v>1032</v>
      </c>
      <c r="B792">
        <v>1.252491</v>
      </c>
      <c r="C792">
        <v>-109.49</v>
      </c>
      <c r="D792">
        <v>-134.148</v>
      </c>
      <c r="E792">
        <v>0.63996299999999995</v>
      </c>
      <c r="F792" t="s">
        <v>13</v>
      </c>
    </row>
    <row r="793" spans="1:6" x14ac:dyDescent="0.25">
      <c r="A793" t="s">
        <v>1033</v>
      </c>
      <c r="B793">
        <v>1.248569</v>
      </c>
      <c r="C793">
        <v>-109.489</v>
      </c>
      <c r="D793">
        <v>-133.25700000000001</v>
      </c>
      <c r="E793">
        <v>0.64422100000000004</v>
      </c>
      <c r="F793" t="s">
        <v>26</v>
      </c>
    </row>
    <row r="794" spans="1:6" x14ac:dyDescent="0.25">
      <c r="A794" t="s">
        <v>1034</v>
      </c>
      <c r="B794">
        <v>1.246076</v>
      </c>
      <c r="C794">
        <v>-109.488</v>
      </c>
      <c r="D794">
        <v>-133.477</v>
      </c>
      <c r="E794">
        <v>0.63951199999999997</v>
      </c>
      <c r="F794" t="s">
        <v>57</v>
      </c>
    </row>
    <row r="795" spans="1:6" x14ac:dyDescent="0.25">
      <c r="A795" t="s">
        <v>1035</v>
      </c>
      <c r="B795">
        <v>1.2543089999999999</v>
      </c>
      <c r="C795">
        <v>-109.483</v>
      </c>
      <c r="D795">
        <v>-133.511</v>
      </c>
      <c r="E795">
        <v>0.64468300000000001</v>
      </c>
      <c r="F795" t="s">
        <v>201</v>
      </c>
    </row>
    <row r="796" spans="1:6" x14ac:dyDescent="0.25">
      <c r="A796" t="s">
        <v>1036</v>
      </c>
      <c r="B796">
        <v>1.258672</v>
      </c>
      <c r="C796">
        <v>-109.48099999999999</v>
      </c>
      <c r="D796">
        <v>-134.79300000000001</v>
      </c>
      <c r="E796">
        <v>0.64648600000000001</v>
      </c>
      <c r="F796" t="s">
        <v>57</v>
      </c>
    </row>
    <row r="797" spans="1:6" x14ac:dyDescent="0.25">
      <c r="A797" t="s">
        <v>1037</v>
      </c>
      <c r="B797">
        <v>1.252756</v>
      </c>
      <c r="C797">
        <v>-109.464</v>
      </c>
      <c r="D797">
        <v>-132.893</v>
      </c>
      <c r="E797">
        <v>0.64104700000000003</v>
      </c>
      <c r="F797" t="s">
        <v>13</v>
      </c>
    </row>
    <row r="798" spans="1:6" x14ac:dyDescent="0.25">
      <c r="A798" t="s">
        <v>1038</v>
      </c>
      <c r="B798">
        <v>1.2916479999999999</v>
      </c>
      <c r="C798">
        <v>-109.459</v>
      </c>
      <c r="D798">
        <v>-133.01400000000001</v>
      </c>
      <c r="E798">
        <v>0.66177900000000001</v>
      </c>
      <c r="F798" t="s">
        <v>26</v>
      </c>
    </row>
    <row r="799" spans="1:6" x14ac:dyDescent="0.25">
      <c r="A799" t="s">
        <v>1039</v>
      </c>
      <c r="B799">
        <v>1.212078</v>
      </c>
      <c r="C799">
        <v>-109.45399999999999</v>
      </c>
      <c r="D799">
        <v>-109.45399999999999</v>
      </c>
      <c r="E799">
        <v>0.62149100000000002</v>
      </c>
      <c r="F799" t="s">
        <v>201</v>
      </c>
    </row>
    <row r="800" spans="1:6" x14ac:dyDescent="0.25">
      <c r="A800" t="s">
        <v>1040</v>
      </c>
      <c r="B800">
        <v>1.2167269999999999</v>
      </c>
      <c r="C800">
        <v>-109.441</v>
      </c>
      <c r="D800">
        <v>-133.54499999999999</v>
      </c>
      <c r="E800">
        <v>0.62382000000000004</v>
      </c>
      <c r="F800" t="s">
        <v>1041</v>
      </c>
    </row>
    <row r="801" spans="1:6" x14ac:dyDescent="0.25">
      <c r="A801" t="s">
        <v>1042</v>
      </c>
      <c r="B801">
        <v>1.279183</v>
      </c>
      <c r="C801">
        <v>-109.43</v>
      </c>
      <c r="D801">
        <v>-135.20099999999999</v>
      </c>
      <c r="E801">
        <v>0.65475300000000003</v>
      </c>
      <c r="F801" t="s">
        <v>755</v>
      </c>
    </row>
    <row r="802" spans="1:6" x14ac:dyDescent="0.25">
      <c r="A802" t="s">
        <v>1043</v>
      </c>
      <c r="B802">
        <v>1.2689619999999999</v>
      </c>
      <c r="C802">
        <v>-109.41800000000001</v>
      </c>
      <c r="D802">
        <v>-135.089</v>
      </c>
      <c r="E802">
        <v>0.65148700000000004</v>
      </c>
      <c r="F802" t="s">
        <v>49</v>
      </c>
    </row>
    <row r="803" spans="1:6" x14ac:dyDescent="0.25">
      <c r="A803" t="s">
        <v>1044</v>
      </c>
      <c r="B803">
        <v>1.232327</v>
      </c>
      <c r="C803">
        <v>-109.41</v>
      </c>
      <c r="D803">
        <v>-134.41999999999999</v>
      </c>
      <c r="E803">
        <v>0.63226300000000002</v>
      </c>
      <c r="F803" t="s">
        <v>22</v>
      </c>
    </row>
    <row r="804" spans="1:6" x14ac:dyDescent="0.25">
      <c r="A804" t="s">
        <v>1045</v>
      </c>
      <c r="B804">
        <v>1.206323</v>
      </c>
      <c r="C804">
        <v>-109.395</v>
      </c>
      <c r="D804">
        <v>-135.43799999999999</v>
      </c>
      <c r="E804">
        <v>0.62023399999999995</v>
      </c>
      <c r="F804" t="s">
        <v>22</v>
      </c>
    </row>
    <row r="805" spans="1:6" x14ac:dyDescent="0.25">
      <c r="A805" t="s">
        <v>1046</v>
      </c>
      <c r="B805">
        <v>1.269245</v>
      </c>
      <c r="C805">
        <v>-109.39400000000001</v>
      </c>
      <c r="D805">
        <v>-134.11000000000001</v>
      </c>
      <c r="E805">
        <v>0.65078400000000003</v>
      </c>
      <c r="F805" t="s">
        <v>11</v>
      </c>
    </row>
    <row r="806" spans="1:6" x14ac:dyDescent="0.25">
      <c r="A806" t="s">
        <v>1047</v>
      </c>
      <c r="B806">
        <v>1.2387919999999999</v>
      </c>
      <c r="C806">
        <v>-109.361</v>
      </c>
      <c r="D806">
        <v>-134.44800000000001</v>
      </c>
      <c r="E806">
        <v>0.63529500000000005</v>
      </c>
      <c r="F806" t="s">
        <v>69</v>
      </c>
    </row>
    <row r="807" spans="1:6" x14ac:dyDescent="0.25">
      <c r="A807" t="s">
        <v>1048</v>
      </c>
      <c r="B807">
        <v>1.27224</v>
      </c>
      <c r="C807">
        <v>-109.35899999999999</v>
      </c>
      <c r="D807">
        <v>-133.27000000000001</v>
      </c>
      <c r="E807">
        <v>0.65301699999999996</v>
      </c>
      <c r="F807" t="s">
        <v>69</v>
      </c>
    </row>
    <row r="808" spans="1:6" x14ac:dyDescent="0.25">
      <c r="A808" t="s">
        <v>1049</v>
      </c>
      <c r="B808">
        <v>1.2510460000000001</v>
      </c>
      <c r="C808">
        <v>-109.352</v>
      </c>
      <c r="D808">
        <v>-133.595</v>
      </c>
      <c r="E808">
        <v>0.64235100000000001</v>
      </c>
      <c r="F808" t="s">
        <v>24</v>
      </c>
    </row>
    <row r="809" spans="1:6" x14ac:dyDescent="0.25">
      <c r="A809" t="s">
        <v>1050</v>
      </c>
      <c r="B809">
        <v>1.2704260000000001</v>
      </c>
      <c r="C809">
        <v>-109.346</v>
      </c>
      <c r="D809">
        <v>-131.85400000000001</v>
      </c>
      <c r="E809">
        <v>0.65125500000000003</v>
      </c>
      <c r="F809" t="s">
        <v>26</v>
      </c>
    </row>
    <row r="810" spans="1:6" x14ac:dyDescent="0.25">
      <c r="A810" t="s">
        <v>1051</v>
      </c>
      <c r="B810">
        <v>1.2746139999999999</v>
      </c>
      <c r="C810">
        <v>-109.345</v>
      </c>
      <c r="D810">
        <v>-133.20599999999999</v>
      </c>
      <c r="E810">
        <v>0.65544000000000002</v>
      </c>
      <c r="F810" t="s">
        <v>26</v>
      </c>
    </row>
    <row r="811" spans="1:6" x14ac:dyDescent="0.25">
      <c r="A811" t="s">
        <v>1052</v>
      </c>
      <c r="B811">
        <v>1.292049</v>
      </c>
      <c r="C811">
        <v>-109.343</v>
      </c>
      <c r="D811">
        <v>-134.001</v>
      </c>
      <c r="E811">
        <v>0.66154999999999997</v>
      </c>
      <c r="F811" t="s">
        <v>13</v>
      </c>
    </row>
    <row r="812" spans="1:6" x14ac:dyDescent="0.25">
      <c r="A812" t="s">
        <v>1053</v>
      </c>
      <c r="B812">
        <v>1.235179</v>
      </c>
      <c r="C812">
        <v>-109.342</v>
      </c>
      <c r="D812">
        <v>-134.54300000000001</v>
      </c>
      <c r="E812">
        <v>0.63283</v>
      </c>
      <c r="F812" t="s">
        <v>194</v>
      </c>
    </row>
    <row r="813" spans="1:6" x14ac:dyDescent="0.25">
      <c r="A813" t="s">
        <v>1054</v>
      </c>
      <c r="B813">
        <v>1.304845</v>
      </c>
      <c r="C813">
        <v>-109.34099999999999</v>
      </c>
      <c r="D813">
        <v>-133.505</v>
      </c>
      <c r="E813">
        <v>0.66943299999999994</v>
      </c>
      <c r="F813" t="s">
        <v>11</v>
      </c>
    </row>
    <row r="814" spans="1:6" x14ac:dyDescent="0.25">
      <c r="A814" t="s">
        <v>1055</v>
      </c>
      <c r="B814" t="s">
        <v>1056</v>
      </c>
      <c r="C814">
        <f>-109.321 -118.694</f>
        <v>-228.01499999999999</v>
      </c>
      <c r="D814">
        <f>-133.051 -118.694</f>
        <v>-251.745</v>
      </c>
      <c r="E814" t="s">
        <v>1057</v>
      </c>
      <c r="F814" t="s">
        <v>53</v>
      </c>
    </row>
    <row r="815" spans="1:6" x14ac:dyDescent="0.25">
      <c r="A815" t="s">
        <v>1058</v>
      </c>
      <c r="B815">
        <v>1.233535</v>
      </c>
      <c r="C815">
        <v>-109.31699999999999</v>
      </c>
      <c r="D815">
        <v>-134.26300000000001</v>
      </c>
      <c r="E815">
        <v>0.63314700000000002</v>
      </c>
      <c r="F815" t="s">
        <v>140</v>
      </c>
    </row>
    <row r="816" spans="1:6" x14ac:dyDescent="0.25">
      <c r="A816" t="s">
        <v>1059</v>
      </c>
      <c r="B816">
        <v>1.2916179999999999</v>
      </c>
      <c r="C816">
        <v>-109.27500000000001</v>
      </c>
      <c r="D816">
        <v>-132.77699999999999</v>
      </c>
      <c r="E816">
        <v>0.66436399999999995</v>
      </c>
      <c r="F816" t="s">
        <v>19</v>
      </c>
    </row>
    <row r="817" spans="1:6" x14ac:dyDescent="0.25">
      <c r="A817" t="s">
        <v>1060</v>
      </c>
      <c r="B817">
        <v>1.297301</v>
      </c>
      <c r="C817">
        <v>-109.274</v>
      </c>
      <c r="D817">
        <v>-133.28800000000001</v>
      </c>
      <c r="E817">
        <v>0.66803500000000005</v>
      </c>
      <c r="F817" t="s">
        <v>26</v>
      </c>
    </row>
    <row r="818" spans="1:6" x14ac:dyDescent="0.25">
      <c r="A818" t="s">
        <v>1061</v>
      </c>
      <c r="B818">
        <v>1.252974</v>
      </c>
      <c r="C818">
        <v>-109.265</v>
      </c>
      <c r="D818">
        <v>-134.334</v>
      </c>
      <c r="E818">
        <v>0.64184600000000003</v>
      </c>
      <c r="F818" t="s">
        <v>169</v>
      </c>
    </row>
    <row r="819" spans="1:6" x14ac:dyDescent="0.25">
      <c r="A819" t="s">
        <v>1062</v>
      </c>
      <c r="B819">
        <v>1.222248</v>
      </c>
      <c r="C819">
        <v>-109.262</v>
      </c>
      <c r="D819">
        <v>-133.45599999999999</v>
      </c>
      <c r="E819">
        <v>0.62738899999999997</v>
      </c>
      <c r="F819" t="s">
        <v>57</v>
      </c>
    </row>
    <row r="820" spans="1:6" x14ac:dyDescent="0.25">
      <c r="A820" t="s">
        <v>1063</v>
      </c>
      <c r="B820">
        <v>1.235384</v>
      </c>
      <c r="C820">
        <v>-109.239</v>
      </c>
      <c r="D820">
        <v>-132.06800000000001</v>
      </c>
      <c r="E820">
        <v>0.63417599999999996</v>
      </c>
      <c r="F820" t="s">
        <v>16</v>
      </c>
    </row>
    <row r="821" spans="1:6" x14ac:dyDescent="0.25">
      <c r="A821" t="s">
        <v>1064</v>
      </c>
      <c r="B821">
        <v>1.2736369999999999</v>
      </c>
      <c r="C821">
        <v>-109.233</v>
      </c>
      <c r="D821">
        <v>-131.821</v>
      </c>
      <c r="E821">
        <v>0.65364900000000004</v>
      </c>
      <c r="F821" t="s">
        <v>57</v>
      </c>
    </row>
    <row r="822" spans="1:6" x14ac:dyDescent="0.25">
      <c r="A822" t="s">
        <v>1065</v>
      </c>
      <c r="B822">
        <v>1.23861</v>
      </c>
      <c r="C822">
        <v>-109.21899999999999</v>
      </c>
      <c r="D822">
        <v>-132.93600000000001</v>
      </c>
      <c r="E822">
        <v>0.63712400000000002</v>
      </c>
      <c r="F822" t="s">
        <v>19</v>
      </c>
    </row>
    <row r="823" spans="1:6" x14ac:dyDescent="0.25">
      <c r="A823" t="s">
        <v>1066</v>
      </c>
      <c r="B823">
        <v>1.263911</v>
      </c>
      <c r="C823">
        <v>-109.20699999999999</v>
      </c>
      <c r="D823">
        <v>-132.62</v>
      </c>
      <c r="E823">
        <v>0.64839800000000003</v>
      </c>
      <c r="F823" t="s">
        <v>57</v>
      </c>
    </row>
    <row r="824" spans="1:6" x14ac:dyDescent="0.25">
      <c r="A824" t="s">
        <v>1067</v>
      </c>
      <c r="B824">
        <v>1.2540849999999999</v>
      </c>
      <c r="C824">
        <v>-109.187</v>
      </c>
      <c r="D824">
        <v>-133.75299999999999</v>
      </c>
      <c r="E824">
        <v>0.64018399999999998</v>
      </c>
      <c r="F824" t="s">
        <v>13</v>
      </c>
    </row>
    <row r="825" spans="1:6" x14ac:dyDescent="0.25">
      <c r="A825" t="s">
        <v>1068</v>
      </c>
      <c r="B825">
        <v>1.2882549999999999</v>
      </c>
      <c r="C825">
        <v>-109.181</v>
      </c>
      <c r="D825">
        <v>-133.35499999999999</v>
      </c>
      <c r="E825">
        <v>0.66227000000000003</v>
      </c>
      <c r="F825" t="s">
        <v>11</v>
      </c>
    </row>
    <row r="826" spans="1:6" x14ac:dyDescent="0.25">
      <c r="A826" t="s">
        <v>1069</v>
      </c>
      <c r="B826">
        <v>1.253519</v>
      </c>
      <c r="C826">
        <v>-109.179</v>
      </c>
      <c r="D826">
        <v>-132.79400000000001</v>
      </c>
      <c r="E826">
        <v>0.64440900000000001</v>
      </c>
      <c r="F826" t="s">
        <v>13</v>
      </c>
    </row>
    <row r="827" spans="1:6" x14ac:dyDescent="0.25">
      <c r="A827" t="s">
        <v>1070</v>
      </c>
      <c r="B827">
        <v>1.2141200000000001</v>
      </c>
      <c r="C827">
        <v>-109.179</v>
      </c>
      <c r="D827">
        <v>-132.935</v>
      </c>
      <c r="E827">
        <v>0.62471100000000002</v>
      </c>
      <c r="F827" t="s">
        <v>57</v>
      </c>
    </row>
    <row r="828" spans="1:6" x14ac:dyDescent="0.25">
      <c r="A828" t="s">
        <v>1071</v>
      </c>
      <c r="B828">
        <v>1.282205</v>
      </c>
      <c r="C828">
        <v>-109.172</v>
      </c>
      <c r="D828">
        <v>-134.511</v>
      </c>
      <c r="E828">
        <v>0.65830599999999995</v>
      </c>
      <c r="F828" t="s">
        <v>405</v>
      </c>
    </row>
    <row r="829" spans="1:6" x14ac:dyDescent="0.25">
      <c r="A829" t="s">
        <v>1072</v>
      </c>
      <c r="B829" t="s">
        <v>1073</v>
      </c>
      <c r="C829">
        <f>-109.157 -114.814</f>
        <v>-223.971</v>
      </c>
      <c r="D829">
        <f>-131.922 -138.413</f>
        <v>-270.33500000000004</v>
      </c>
      <c r="E829" t="s">
        <v>1074</v>
      </c>
      <c r="F829" t="s">
        <v>187</v>
      </c>
    </row>
    <row r="830" spans="1:6" x14ac:dyDescent="0.25">
      <c r="A830" t="s">
        <v>1075</v>
      </c>
      <c r="B830">
        <v>1.2681009999999999</v>
      </c>
      <c r="C830">
        <v>-109.15600000000001</v>
      </c>
      <c r="D830">
        <v>-132.28100000000001</v>
      </c>
      <c r="E830">
        <v>0.650474</v>
      </c>
      <c r="F830" t="s">
        <v>19</v>
      </c>
    </row>
    <row r="831" spans="1:6" x14ac:dyDescent="0.25">
      <c r="A831" t="s">
        <v>1076</v>
      </c>
      <c r="B831">
        <v>1.2659210000000001</v>
      </c>
      <c r="C831">
        <v>-109.131</v>
      </c>
      <c r="D831">
        <v>-133.077</v>
      </c>
      <c r="E831">
        <v>0.64883400000000002</v>
      </c>
      <c r="F831" t="s">
        <v>13</v>
      </c>
    </row>
    <row r="832" spans="1:6" x14ac:dyDescent="0.25">
      <c r="A832" t="s">
        <v>1077</v>
      </c>
      <c r="B832">
        <v>1.2827630000000001</v>
      </c>
      <c r="C832">
        <v>-109.123</v>
      </c>
      <c r="D832">
        <v>-109.123</v>
      </c>
      <c r="E832">
        <v>0.66103699999999999</v>
      </c>
      <c r="F832" t="s">
        <v>69</v>
      </c>
    </row>
    <row r="833" spans="1:6" x14ac:dyDescent="0.25">
      <c r="A833" t="s">
        <v>1078</v>
      </c>
      <c r="B833">
        <v>1.2721340000000001</v>
      </c>
      <c r="C833">
        <v>-109.104</v>
      </c>
      <c r="D833">
        <v>-135.07499999999999</v>
      </c>
      <c r="E833">
        <v>0.65534899999999996</v>
      </c>
      <c r="F833" t="s">
        <v>194</v>
      </c>
    </row>
    <row r="834" spans="1:6" x14ac:dyDescent="0.25">
      <c r="A834" t="s">
        <v>1079</v>
      </c>
      <c r="B834">
        <v>1.2237180000000001</v>
      </c>
      <c r="C834">
        <v>-109.101</v>
      </c>
      <c r="D834">
        <v>-133.398</v>
      </c>
      <c r="E834">
        <v>0.62583999999999995</v>
      </c>
      <c r="F834" t="s">
        <v>24</v>
      </c>
    </row>
    <row r="835" spans="1:6" x14ac:dyDescent="0.25">
      <c r="A835" t="s">
        <v>1080</v>
      </c>
      <c r="B835">
        <v>1.209279</v>
      </c>
      <c r="C835">
        <v>-109.092</v>
      </c>
      <c r="D835">
        <v>-135.26499999999999</v>
      </c>
      <c r="E835">
        <v>0.62075800000000003</v>
      </c>
      <c r="F835" t="s">
        <v>144</v>
      </c>
    </row>
    <row r="836" spans="1:6" x14ac:dyDescent="0.25">
      <c r="A836" t="s">
        <v>1081</v>
      </c>
      <c r="B836">
        <v>1.2171320000000001</v>
      </c>
      <c r="C836">
        <v>-109.092</v>
      </c>
      <c r="D836">
        <v>-132.95500000000001</v>
      </c>
      <c r="E836">
        <v>0.62558100000000005</v>
      </c>
      <c r="F836" t="s">
        <v>16</v>
      </c>
    </row>
    <row r="837" spans="1:6" x14ac:dyDescent="0.25">
      <c r="A837" t="s">
        <v>1082</v>
      </c>
      <c r="B837">
        <v>1.227171</v>
      </c>
      <c r="C837">
        <v>-109.06</v>
      </c>
      <c r="D837">
        <v>-131.745</v>
      </c>
      <c r="E837">
        <v>0.62703500000000001</v>
      </c>
      <c r="F837" t="s">
        <v>57</v>
      </c>
    </row>
    <row r="838" spans="1:6" x14ac:dyDescent="0.25">
      <c r="A838" t="s">
        <v>1083</v>
      </c>
      <c r="B838">
        <v>1.1783539999999999</v>
      </c>
      <c r="C838">
        <v>-109.053</v>
      </c>
      <c r="D838">
        <v>-133.303</v>
      </c>
      <c r="E838">
        <v>0.60217399999999999</v>
      </c>
      <c r="F838" t="s">
        <v>591</v>
      </c>
    </row>
    <row r="839" spans="1:6" x14ac:dyDescent="0.25">
      <c r="A839" t="s">
        <v>1084</v>
      </c>
      <c r="B839">
        <v>1.2273430000000001</v>
      </c>
      <c r="C839">
        <v>-109.05200000000001</v>
      </c>
      <c r="D839">
        <v>-133.42500000000001</v>
      </c>
      <c r="E839">
        <v>0.63097400000000003</v>
      </c>
      <c r="F839" t="s">
        <v>13</v>
      </c>
    </row>
    <row r="840" spans="1:6" x14ac:dyDescent="0.25">
      <c r="A840" t="s">
        <v>1085</v>
      </c>
      <c r="B840">
        <v>1.2614829999999999</v>
      </c>
      <c r="C840">
        <v>-109.04900000000001</v>
      </c>
      <c r="D840">
        <v>-135.38800000000001</v>
      </c>
      <c r="E840">
        <v>0.64643099999999998</v>
      </c>
      <c r="F840" t="s">
        <v>57</v>
      </c>
    </row>
    <row r="841" spans="1:6" x14ac:dyDescent="0.25">
      <c r="A841" t="s">
        <v>1086</v>
      </c>
      <c r="B841">
        <v>1.2619</v>
      </c>
      <c r="C841">
        <v>-109.045</v>
      </c>
      <c r="D841">
        <v>-133.95599999999999</v>
      </c>
      <c r="E841">
        <v>0.64758499999999997</v>
      </c>
      <c r="F841" t="s">
        <v>49</v>
      </c>
    </row>
    <row r="842" spans="1:6" x14ac:dyDescent="0.25">
      <c r="A842" t="s">
        <v>1087</v>
      </c>
      <c r="B842">
        <v>1.2505599999999999</v>
      </c>
      <c r="C842">
        <v>-109.039</v>
      </c>
      <c r="D842">
        <v>-134.488</v>
      </c>
      <c r="E842">
        <v>0.64115200000000006</v>
      </c>
      <c r="F842" t="s">
        <v>69</v>
      </c>
    </row>
    <row r="843" spans="1:6" x14ac:dyDescent="0.25">
      <c r="A843" t="s">
        <v>1088</v>
      </c>
      <c r="B843">
        <v>1.226227</v>
      </c>
      <c r="C843">
        <v>-109.035</v>
      </c>
      <c r="D843">
        <v>-133.191</v>
      </c>
      <c r="E843">
        <v>0.63000100000000003</v>
      </c>
      <c r="F843" t="s">
        <v>57</v>
      </c>
    </row>
    <row r="844" spans="1:6" x14ac:dyDescent="0.25">
      <c r="A844" t="s">
        <v>1089</v>
      </c>
      <c r="B844">
        <v>1.2457260000000001</v>
      </c>
      <c r="C844">
        <v>-109.03400000000001</v>
      </c>
      <c r="D844">
        <v>-130.822</v>
      </c>
      <c r="E844">
        <v>0.639297</v>
      </c>
      <c r="F844" t="s">
        <v>49</v>
      </c>
    </row>
    <row r="845" spans="1:6" x14ac:dyDescent="0.25">
      <c r="A845" t="s">
        <v>1090</v>
      </c>
      <c r="B845">
        <v>1.214769</v>
      </c>
      <c r="C845">
        <v>-109.032</v>
      </c>
      <c r="D845">
        <v>-132.43899999999999</v>
      </c>
      <c r="E845">
        <v>0.62504099999999996</v>
      </c>
      <c r="F845" t="s">
        <v>13</v>
      </c>
    </row>
    <row r="846" spans="1:6" x14ac:dyDescent="0.25">
      <c r="A846" t="s">
        <v>1091</v>
      </c>
      <c r="B846">
        <v>1.207233</v>
      </c>
      <c r="C846">
        <v>-109.023</v>
      </c>
      <c r="D846">
        <v>-134.77500000000001</v>
      </c>
      <c r="E846">
        <v>0.62106399999999995</v>
      </c>
      <c r="F846" t="s">
        <v>13</v>
      </c>
    </row>
    <row r="847" spans="1:6" x14ac:dyDescent="0.25">
      <c r="A847" t="s">
        <v>1092</v>
      </c>
      <c r="B847">
        <v>1.2670969999999999</v>
      </c>
      <c r="C847">
        <v>-109.02200000000001</v>
      </c>
      <c r="D847">
        <v>-133.577</v>
      </c>
      <c r="E847">
        <v>0.64854699999999998</v>
      </c>
      <c r="F847" t="s">
        <v>169</v>
      </c>
    </row>
    <row r="848" spans="1:6" x14ac:dyDescent="0.25">
      <c r="A848" t="s">
        <v>1093</v>
      </c>
      <c r="B848">
        <v>1.265725</v>
      </c>
      <c r="C848">
        <v>-109.021</v>
      </c>
      <c r="D848">
        <v>-135.57300000000001</v>
      </c>
      <c r="E848">
        <v>0.65198900000000004</v>
      </c>
      <c r="F848" t="s">
        <v>144</v>
      </c>
    </row>
    <row r="849" spans="1:6" x14ac:dyDescent="0.25">
      <c r="A849" t="s">
        <v>1094</v>
      </c>
      <c r="B849">
        <v>1.2143090000000001</v>
      </c>
      <c r="C849">
        <v>-109.009</v>
      </c>
      <c r="D849">
        <v>-130.82900000000001</v>
      </c>
      <c r="E849">
        <v>0.62177000000000004</v>
      </c>
      <c r="F849" t="s">
        <v>57</v>
      </c>
    </row>
    <row r="850" spans="1:6" x14ac:dyDescent="0.25">
      <c r="A850" t="s">
        <v>1095</v>
      </c>
      <c r="B850">
        <v>1.3106770000000001</v>
      </c>
      <c r="C850">
        <v>-108.994</v>
      </c>
      <c r="D850">
        <v>-132.94999999999999</v>
      </c>
      <c r="E850">
        <v>0.67241899999999999</v>
      </c>
      <c r="F850" t="s">
        <v>8</v>
      </c>
    </row>
    <row r="851" spans="1:6" x14ac:dyDescent="0.25">
      <c r="A851" t="s">
        <v>1096</v>
      </c>
      <c r="B851">
        <v>1.2039519999999999</v>
      </c>
      <c r="C851">
        <v>-108.994</v>
      </c>
      <c r="D851">
        <v>-134.19900000000001</v>
      </c>
      <c r="E851">
        <v>0.617448</v>
      </c>
      <c r="F851" t="s">
        <v>24</v>
      </c>
    </row>
    <row r="852" spans="1:6" x14ac:dyDescent="0.25">
      <c r="A852" t="s">
        <v>1097</v>
      </c>
      <c r="B852">
        <v>1.208418</v>
      </c>
      <c r="C852">
        <v>-108.974</v>
      </c>
      <c r="D852">
        <v>-135.21700000000001</v>
      </c>
      <c r="E852">
        <v>0.62085699999999999</v>
      </c>
      <c r="F852" t="s">
        <v>401</v>
      </c>
    </row>
    <row r="853" spans="1:6" x14ac:dyDescent="0.25">
      <c r="A853" t="s">
        <v>1098</v>
      </c>
      <c r="B853">
        <v>1.276019</v>
      </c>
      <c r="C853">
        <v>-108.973</v>
      </c>
      <c r="D853">
        <v>-133.80699999999999</v>
      </c>
      <c r="E853">
        <v>0.65480499999999997</v>
      </c>
      <c r="F853" t="s">
        <v>13</v>
      </c>
    </row>
    <row r="854" spans="1:6" x14ac:dyDescent="0.25">
      <c r="A854" t="s">
        <v>1099</v>
      </c>
      <c r="B854" t="s">
        <v>1100</v>
      </c>
      <c r="C854">
        <f>-108.971 -120.996</f>
        <v>-229.96699999999998</v>
      </c>
      <c r="D854">
        <f>-133.247 -144.056</f>
        <v>-277.303</v>
      </c>
      <c r="E854" t="s">
        <v>1101</v>
      </c>
      <c r="F854" t="s">
        <v>94</v>
      </c>
    </row>
    <row r="855" spans="1:6" x14ac:dyDescent="0.25">
      <c r="A855" t="s">
        <v>1102</v>
      </c>
      <c r="B855" t="s">
        <v>1103</v>
      </c>
      <c r="C855">
        <f>-108.971 -118.045</f>
        <v>-227.01600000000002</v>
      </c>
      <c r="D855">
        <f>-135.712 -143.939</f>
        <v>-279.65099999999995</v>
      </c>
      <c r="E855" t="s">
        <v>1104</v>
      </c>
      <c r="F855" t="s">
        <v>41</v>
      </c>
    </row>
    <row r="856" spans="1:6" x14ac:dyDescent="0.25">
      <c r="A856" t="s">
        <v>1105</v>
      </c>
      <c r="B856">
        <v>1.271161</v>
      </c>
      <c r="C856">
        <v>-108.952</v>
      </c>
      <c r="D856">
        <v>-108.952</v>
      </c>
      <c r="E856">
        <v>0.65037400000000001</v>
      </c>
      <c r="F856" t="s">
        <v>8</v>
      </c>
    </row>
    <row r="857" spans="1:6" x14ac:dyDescent="0.25">
      <c r="A857" t="s">
        <v>1106</v>
      </c>
      <c r="B857">
        <v>1.3070900000000001</v>
      </c>
      <c r="C857">
        <v>-108.949</v>
      </c>
      <c r="D857">
        <v>-132.751</v>
      </c>
      <c r="E857">
        <v>0.67189399999999999</v>
      </c>
      <c r="F857" t="s">
        <v>57</v>
      </c>
    </row>
    <row r="858" spans="1:6" x14ac:dyDescent="0.25">
      <c r="A858" t="s">
        <v>1107</v>
      </c>
      <c r="B858">
        <v>1.2696229999999999</v>
      </c>
      <c r="C858">
        <v>-108.941</v>
      </c>
      <c r="D858">
        <v>-132.94499999999999</v>
      </c>
      <c r="E858">
        <v>0.65009600000000001</v>
      </c>
      <c r="F858" t="s">
        <v>755</v>
      </c>
    </row>
    <row r="859" spans="1:6" x14ac:dyDescent="0.25">
      <c r="A859" t="s">
        <v>1108</v>
      </c>
      <c r="B859">
        <v>1.2372510000000001</v>
      </c>
      <c r="C859">
        <v>-108.92700000000001</v>
      </c>
      <c r="D859">
        <v>-132.50899999999999</v>
      </c>
      <c r="E859">
        <v>0.63769200000000004</v>
      </c>
      <c r="F859" t="s">
        <v>140</v>
      </c>
    </row>
    <row r="860" spans="1:6" x14ac:dyDescent="0.25">
      <c r="A860" t="s">
        <v>1109</v>
      </c>
      <c r="B860">
        <v>1.2526870000000001</v>
      </c>
      <c r="C860">
        <v>-108.92</v>
      </c>
      <c r="D860">
        <v>-130.33699999999999</v>
      </c>
      <c r="E860">
        <v>0.643146</v>
      </c>
      <c r="F860" t="s">
        <v>16</v>
      </c>
    </row>
    <row r="861" spans="1:6" x14ac:dyDescent="0.25">
      <c r="A861" t="s">
        <v>1110</v>
      </c>
      <c r="B861">
        <v>1.236661</v>
      </c>
      <c r="C861">
        <v>-108.914</v>
      </c>
      <c r="D861">
        <v>-131.863</v>
      </c>
      <c r="E861">
        <v>0.63325500000000001</v>
      </c>
      <c r="F861" t="s">
        <v>13</v>
      </c>
    </row>
    <row r="862" spans="1:6" x14ac:dyDescent="0.25">
      <c r="A862" t="s">
        <v>1111</v>
      </c>
      <c r="B862">
        <v>1.2811079999999999</v>
      </c>
      <c r="C862">
        <v>-108.86499999999999</v>
      </c>
      <c r="D862">
        <v>-132.23099999999999</v>
      </c>
      <c r="E862">
        <v>0.65532199999999996</v>
      </c>
      <c r="F862" t="s">
        <v>986</v>
      </c>
    </row>
    <row r="863" spans="1:6" x14ac:dyDescent="0.25">
      <c r="A863" t="s">
        <v>1112</v>
      </c>
      <c r="B863">
        <v>1.2259850000000001</v>
      </c>
      <c r="C863">
        <v>-108.851</v>
      </c>
      <c r="D863">
        <v>-132.268</v>
      </c>
      <c r="E863">
        <v>0.62793299999999996</v>
      </c>
      <c r="F863" t="s">
        <v>201</v>
      </c>
    </row>
    <row r="864" spans="1:6" x14ac:dyDescent="0.25">
      <c r="A864" t="s">
        <v>1113</v>
      </c>
      <c r="B864">
        <v>1.224216</v>
      </c>
      <c r="C864">
        <v>-108.82299999999999</v>
      </c>
      <c r="D864">
        <v>-108.82299999999999</v>
      </c>
      <c r="E864">
        <v>0.62897800000000004</v>
      </c>
      <c r="F864" t="s">
        <v>8</v>
      </c>
    </row>
    <row r="865" spans="1:6" x14ac:dyDescent="0.25">
      <c r="A865" t="s">
        <v>1114</v>
      </c>
      <c r="B865">
        <v>1.268694</v>
      </c>
      <c r="C865">
        <v>-108.818</v>
      </c>
      <c r="D865">
        <v>-131.5</v>
      </c>
      <c r="E865">
        <v>0.65192099999999997</v>
      </c>
      <c r="F865" t="s">
        <v>26</v>
      </c>
    </row>
    <row r="866" spans="1:6" x14ac:dyDescent="0.25">
      <c r="A866" t="s">
        <v>1115</v>
      </c>
      <c r="B866">
        <v>1.229854</v>
      </c>
      <c r="C866">
        <v>-108.812</v>
      </c>
      <c r="D866">
        <v>-132.96</v>
      </c>
      <c r="E866">
        <v>0.63223300000000004</v>
      </c>
      <c r="F866" t="s">
        <v>24</v>
      </c>
    </row>
    <row r="867" spans="1:6" x14ac:dyDescent="0.25">
      <c r="A867" t="s">
        <v>1116</v>
      </c>
      <c r="B867">
        <v>1.2286010000000001</v>
      </c>
      <c r="C867">
        <v>-108.804</v>
      </c>
      <c r="D867">
        <v>-133.48599999999999</v>
      </c>
      <c r="E867">
        <v>0.63319999999999999</v>
      </c>
      <c r="F867" t="s">
        <v>140</v>
      </c>
    </row>
    <row r="868" spans="1:6" x14ac:dyDescent="0.25">
      <c r="A868" t="s">
        <v>1117</v>
      </c>
      <c r="B868">
        <v>1.2926869999999999</v>
      </c>
      <c r="C868">
        <v>-108.804</v>
      </c>
      <c r="D868">
        <v>-132.02099999999999</v>
      </c>
      <c r="E868">
        <v>0.664466</v>
      </c>
      <c r="F868" t="s">
        <v>49</v>
      </c>
    </row>
    <row r="869" spans="1:6" x14ac:dyDescent="0.25">
      <c r="A869" t="s">
        <v>1118</v>
      </c>
      <c r="B869">
        <v>1.276373</v>
      </c>
      <c r="C869">
        <v>-108.79900000000001</v>
      </c>
      <c r="D869">
        <v>-131.608</v>
      </c>
      <c r="E869">
        <v>0.65443899999999999</v>
      </c>
      <c r="F869" t="s">
        <v>169</v>
      </c>
    </row>
    <row r="870" spans="1:6" x14ac:dyDescent="0.25">
      <c r="A870" t="s">
        <v>1119</v>
      </c>
      <c r="B870">
        <v>1.2181569999999999</v>
      </c>
      <c r="C870">
        <v>-108.794</v>
      </c>
      <c r="D870">
        <v>-132.01499999999999</v>
      </c>
      <c r="E870">
        <v>0.62469699999999995</v>
      </c>
      <c r="F870" t="s">
        <v>201</v>
      </c>
    </row>
    <row r="871" spans="1:6" x14ac:dyDescent="0.25">
      <c r="A871" t="s">
        <v>1120</v>
      </c>
      <c r="B871">
        <v>1.2220979999999999</v>
      </c>
      <c r="C871">
        <v>-108.792</v>
      </c>
      <c r="D871">
        <v>-133.06800000000001</v>
      </c>
      <c r="E871">
        <v>0.62647299999999995</v>
      </c>
      <c r="F871" t="s">
        <v>24</v>
      </c>
    </row>
    <row r="872" spans="1:6" x14ac:dyDescent="0.25">
      <c r="A872" t="s">
        <v>1121</v>
      </c>
      <c r="B872">
        <v>1.2585930000000001</v>
      </c>
      <c r="C872">
        <v>-108.791</v>
      </c>
      <c r="D872">
        <v>-133.12899999999999</v>
      </c>
      <c r="E872">
        <v>0.64556800000000003</v>
      </c>
      <c r="F872" t="s">
        <v>26</v>
      </c>
    </row>
    <row r="873" spans="1:6" x14ac:dyDescent="0.25">
      <c r="A873" t="s">
        <v>1122</v>
      </c>
      <c r="B873">
        <v>1.2724789999999999</v>
      </c>
      <c r="C873">
        <v>-108.789</v>
      </c>
      <c r="D873">
        <v>-132.93899999999999</v>
      </c>
      <c r="E873">
        <v>0.65533699999999995</v>
      </c>
      <c r="F873" t="s">
        <v>13</v>
      </c>
    </row>
    <row r="874" spans="1:6" x14ac:dyDescent="0.25">
      <c r="A874" t="s">
        <v>1123</v>
      </c>
      <c r="B874">
        <v>1.245344</v>
      </c>
      <c r="C874">
        <v>-108.78400000000001</v>
      </c>
      <c r="D874">
        <v>-132.67599999999999</v>
      </c>
      <c r="E874">
        <v>0.63916799999999996</v>
      </c>
      <c r="F874" t="s">
        <v>211</v>
      </c>
    </row>
    <row r="875" spans="1:6" x14ac:dyDescent="0.25">
      <c r="A875" t="s">
        <v>1124</v>
      </c>
      <c r="B875">
        <v>1.239242</v>
      </c>
      <c r="C875">
        <v>-108.783</v>
      </c>
      <c r="D875">
        <v>-134.41800000000001</v>
      </c>
      <c r="E875">
        <v>0.63529599999999997</v>
      </c>
      <c r="F875" t="s">
        <v>19</v>
      </c>
    </row>
    <row r="876" spans="1:6" x14ac:dyDescent="0.25">
      <c r="A876" t="s">
        <v>1125</v>
      </c>
      <c r="B876">
        <v>1.2402770000000001</v>
      </c>
      <c r="C876">
        <v>-108.773</v>
      </c>
      <c r="D876">
        <v>-132.697</v>
      </c>
      <c r="E876">
        <v>0.63951899999999995</v>
      </c>
      <c r="F876" t="s">
        <v>13</v>
      </c>
    </row>
    <row r="877" spans="1:6" x14ac:dyDescent="0.25">
      <c r="A877" t="s">
        <v>1126</v>
      </c>
      <c r="B877">
        <v>1.217525</v>
      </c>
      <c r="C877">
        <v>-108.77200000000001</v>
      </c>
      <c r="D877">
        <v>-133.82599999999999</v>
      </c>
      <c r="E877">
        <v>0.62398699999999996</v>
      </c>
      <c r="F877" t="s">
        <v>22</v>
      </c>
    </row>
    <row r="878" spans="1:6" x14ac:dyDescent="0.25">
      <c r="A878" t="s">
        <v>1127</v>
      </c>
      <c r="B878">
        <v>1.233025</v>
      </c>
      <c r="C878">
        <v>-108.76900000000001</v>
      </c>
      <c r="D878">
        <v>-131.75800000000001</v>
      </c>
      <c r="E878">
        <v>0.63475199999999998</v>
      </c>
      <c r="F878" t="s">
        <v>19</v>
      </c>
    </row>
    <row r="879" spans="1:6" x14ac:dyDescent="0.25">
      <c r="A879" t="s">
        <v>1128</v>
      </c>
      <c r="B879" t="s">
        <v>1129</v>
      </c>
      <c r="C879">
        <f>-108.767 -110.896</f>
        <v>-219.66300000000001</v>
      </c>
      <c r="D879">
        <f>-132.255 -134.252</f>
        <v>-266.50700000000001</v>
      </c>
      <c r="E879" t="s">
        <v>1130</v>
      </c>
      <c r="F879" t="s">
        <v>94</v>
      </c>
    </row>
    <row r="880" spans="1:6" x14ac:dyDescent="0.25">
      <c r="A880" t="s">
        <v>1131</v>
      </c>
      <c r="B880" t="s">
        <v>1132</v>
      </c>
      <c r="C880">
        <f>-108.764 -107.336</f>
        <v>-216.1</v>
      </c>
      <c r="D880">
        <f>-131.852 -130.281</f>
        <v>-262.13300000000004</v>
      </c>
      <c r="E880" t="s">
        <v>1133</v>
      </c>
      <c r="F880" t="s">
        <v>220</v>
      </c>
    </row>
    <row r="881" spans="1:6" x14ac:dyDescent="0.25">
      <c r="A881" t="s">
        <v>1134</v>
      </c>
      <c r="B881">
        <v>1.2678579999999999</v>
      </c>
      <c r="C881">
        <v>-108.75700000000001</v>
      </c>
      <c r="D881">
        <v>-134.04</v>
      </c>
      <c r="E881">
        <v>0.65143799999999996</v>
      </c>
      <c r="F881" t="s">
        <v>57</v>
      </c>
    </row>
    <row r="882" spans="1:6" x14ac:dyDescent="0.25">
      <c r="A882" t="s">
        <v>1135</v>
      </c>
      <c r="B882">
        <v>1.1747540000000001</v>
      </c>
      <c r="C882">
        <v>-108.755</v>
      </c>
      <c r="D882">
        <v>-132.28100000000001</v>
      </c>
      <c r="E882">
        <v>0.60180699999999998</v>
      </c>
      <c r="F882" t="s">
        <v>13</v>
      </c>
    </row>
    <row r="883" spans="1:6" x14ac:dyDescent="0.25">
      <c r="A883" t="s">
        <v>1136</v>
      </c>
      <c r="B883">
        <v>1.2801340000000001</v>
      </c>
      <c r="C883">
        <v>-108.73099999999999</v>
      </c>
      <c r="D883">
        <v>-108.73099999999999</v>
      </c>
      <c r="E883">
        <v>0.65891500000000003</v>
      </c>
      <c r="F883" t="s">
        <v>22</v>
      </c>
    </row>
    <row r="884" spans="1:6" x14ac:dyDescent="0.25">
      <c r="A884" t="s">
        <v>1137</v>
      </c>
      <c r="B884">
        <v>1.2658640000000001</v>
      </c>
      <c r="C884">
        <v>-108.72499999999999</v>
      </c>
      <c r="D884">
        <v>-132.32900000000001</v>
      </c>
      <c r="E884">
        <v>0.651891</v>
      </c>
      <c r="F884" t="s">
        <v>8</v>
      </c>
    </row>
    <row r="885" spans="1:6" x14ac:dyDescent="0.25">
      <c r="A885" t="s">
        <v>1138</v>
      </c>
      <c r="B885">
        <v>1.2487790000000001</v>
      </c>
      <c r="C885">
        <v>-108.72199999999999</v>
      </c>
      <c r="D885">
        <v>-108.72199999999999</v>
      </c>
      <c r="E885">
        <v>0.64065700000000003</v>
      </c>
      <c r="F885" t="s">
        <v>24</v>
      </c>
    </row>
    <row r="886" spans="1:6" x14ac:dyDescent="0.25">
      <c r="A886" t="s">
        <v>1139</v>
      </c>
      <c r="B886">
        <v>1.188151</v>
      </c>
      <c r="C886">
        <v>-108.71899999999999</v>
      </c>
      <c r="D886">
        <v>-108.71899999999999</v>
      </c>
      <c r="E886">
        <v>0.61275500000000005</v>
      </c>
      <c r="F886" t="s">
        <v>69</v>
      </c>
    </row>
    <row r="887" spans="1:6" x14ac:dyDescent="0.25">
      <c r="A887" t="s">
        <v>1140</v>
      </c>
      <c r="B887">
        <v>1.2317480000000001</v>
      </c>
      <c r="C887">
        <v>-108.71899999999999</v>
      </c>
      <c r="D887">
        <v>-135.143</v>
      </c>
      <c r="E887">
        <v>0.63284700000000005</v>
      </c>
      <c r="F887" t="s">
        <v>144</v>
      </c>
    </row>
    <row r="888" spans="1:6" x14ac:dyDescent="0.25">
      <c r="A888" t="s">
        <v>1141</v>
      </c>
      <c r="B888">
        <v>1.2689859999999999</v>
      </c>
      <c r="C888">
        <v>-108.714</v>
      </c>
      <c r="D888">
        <v>-131.315</v>
      </c>
      <c r="E888">
        <v>0.65227100000000005</v>
      </c>
      <c r="F888" t="s">
        <v>26</v>
      </c>
    </row>
    <row r="889" spans="1:6" x14ac:dyDescent="0.25">
      <c r="A889" t="s">
        <v>1142</v>
      </c>
      <c r="B889">
        <v>1.2584040000000001</v>
      </c>
      <c r="C889">
        <v>-108.714</v>
      </c>
      <c r="D889">
        <v>-134.18100000000001</v>
      </c>
      <c r="E889">
        <v>0.64705800000000002</v>
      </c>
      <c r="F889" t="s">
        <v>194</v>
      </c>
    </row>
    <row r="890" spans="1:6" x14ac:dyDescent="0.25">
      <c r="A890" t="s">
        <v>1143</v>
      </c>
      <c r="B890">
        <v>1.2743070000000001</v>
      </c>
      <c r="C890">
        <v>-108.71</v>
      </c>
      <c r="D890">
        <v>-108.71</v>
      </c>
      <c r="E890">
        <v>0.65249199999999996</v>
      </c>
      <c r="F890" t="s">
        <v>49</v>
      </c>
    </row>
    <row r="891" spans="1:6" x14ac:dyDescent="0.25">
      <c r="A891" t="s">
        <v>1144</v>
      </c>
      <c r="B891">
        <v>1.275188</v>
      </c>
      <c r="C891">
        <v>-108.70399999999999</v>
      </c>
      <c r="D891">
        <v>-133.589</v>
      </c>
      <c r="E891">
        <v>0.656111</v>
      </c>
      <c r="F891" t="s">
        <v>19</v>
      </c>
    </row>
    <row r="892" spans="1:6" x14ac:dyDescent="0.25">
      <c r="A892" t="s">
        <v>1145</v>
      </c>
      <c r="B892">
        <v>1.2417800000000001</v>
      </c>
      <c r="C892">
        <v>-108.70399999999999</v>
      </c>
      <c r="D892">
        <v>-132.65899999999999</v>
      </c>
      <c r="E892">
        <v>0.63479699999999994</v>
      </c>
      <c r="F892" t="s">
        <v>13</v>
      </c>
    </row>
    <row r="893" spans="1:6" x14ac:dyDescent="0.25">
      <c r="A893" t="s">
        <v>1146</v>
      </c>
      <c r="B893">
        <v>1.236272</v>
      </c>
      <c r="C893">
        <v>-108.691</v>
      </c>
      <c r="D893">
        <v>-131.976</v>
      </c>
      <c r="E893">
        <v>0.63358000000000003</v>
      </c>
      <c r="F893" t="s">
        <v>16</v>
      </c>
    </row>
    <row r="894" spans="1:6" x14ac:dyDescent="0.25">
      <c r="A894" t="s">
        <v>1147</v>
      </c>
      <c r="B894" t="s">
        <v>1148</v>
      </c>
      <c r="C894">
        <f>-108.682 -106.087</f>
        <v>-214.76900000000001</v>
      </c>
      <c r="D894">
        <f>-132.044 -130.373</f>
        <v>-262.41700000000003</v>
      </c>
      <c r="E894" t="s">
        <v>1149</v>
      </c>
      <c r="F894" t="s">
        <v>87</v>
      </c>
    </row>
    <row r="895" spans="1:6" x14ac:dyDescent="0.25">
      <c r="A895" t="s">
        <v>1150</v>
      </c>
      <c r="B895">
        <v>1.24421</v>
      </c>
      <c r="C895">
        <v>-108.673</v>
      </c>
      <c r="D895">
        <v>-132.71299999999999</v>
      </c>
      <c r="E895">
        <v>0.640594</v>
      </c>
      <c r="F895" t="s">
        <v>8</v>
      </c>
    </row>
    <row r="896" spans="1:6" x14ac:dyDescent="0.25">
      <c r="A896" t="s">
        <v>1151</v>
      </c>
      <c r="B896">
        <v>1.297302</v>
      </c>
      <c r="C896">
        <v>-108.67</v>
      </c>
      <c r="D896">
        <v>-135.05500000000001</v>
      </c>
      <c r="E896">
        <v>0.668242</v>
      </c>
      <c r="F896" t="s">
        <v>19</v>
      </c>
    </row>
    <row r="897" spans="1:6" x14ac:dyDescent="0.25">
      <c r="A897" t="s">
        <v>1152</v>
      </c>
      <c r="B897">
        <v>1.251368</v>
      </c>
      <c r="C897">
        <v>-108.667</v>
      </c>
      <c r="D897">
        <v>-134.273</v>
      </c>
      <c r="E897">
        <v>0.64443600000000001</v>
      </c>
      <c r="F897" t="s">
        <v>13</v>
      </c>
    </row>
    <row r="898" spans="1:6" x14ac:dyDescent="0.25">
      <c r="A898" t="s">
        <v>1153</v>
      </c>
      <c r="B898">
        <v>1.297269</v>
      </c>
      <c r="C898">
        <v>-108.666</v>
      </c>
      <c r="D898">
        <v>-134.80099999999999</v>
      </c>
      <c r="E898">
        <v>0.66900599999999999</v>
      </c>
      <c r="F898" t="s">
        <v>19</v>
      </c>
    </row>
    <row r="899" spans="1:6" x14ac:dyDescent="0.25">
      <c r="A899" t="s">
        <v>1154</v>
      </c>
      <c r="B899" t="s">
        <v>1155</v>
      </c>
      <c r="C899">
        <f>-108.663 -110.629</f>
        <v>-219.292</v>
      </c>
      <c r="D899">
        <f>-132.107 -135.285</f>
        <v>-267.392</v>
      </c>
      <c r="E899" t="s">
        <v>1156</v>
      </c>
      <c r="F899" t="s">
        <v>187</v>
      </c>
    </row>
    <row r="900" spans="1:6" x14ac:dyDescent="0.25">
      <c r="A900" t="s">
        <v>1157</v>
      </c>
      <c r="B900">
        <v>1.2321869999999999</v>
      </c>
      <c r="C900">
        <v>-108.64100000000001</v>
      </c>
      <c r="D900">
        <v>-133.21</v>
      </c>
      <c r="E900">
        <v>0.63113600000000003</v>
      </c>
      <c r="F900" t="s">
        <v>57</v>
      </c>
    </row>
    <row r="901" spans="1:6" x14ac:dyDescent="0.25">
      <c r="A901" t="s">
        <v>1158</v>
      </c>
      <c r="B901">
        <v>1.1678040000000001</v>
      </c>
      <c r="C901">
        <v>-108.63500000000001</v>
      </c>
      <c r="D901">
        <v>-108.63500000000001</v>
      </c>
      <c r="E901">
        <v>0.59796800000000006</v>
      </c>
      <c r="F901" t="s">
        <v>57</v>
      </c>
    </row>
    <row r="902" spans="1:6" x14ac:dyDescent="0.25">
      <c r="A902" t="s">
        <v>1159</v>
      </c>
      <c r="B902" t="s">
        <v>1160</v>
      </c>
      <c r="C902">
        <f>-108.625 -120.031</f>
        <v>-228.65600000000001</v>
      </c>
      <c r="D902">
        <f>-133.418 -143.7</f>
        <v>-277.11799999999999</v>
      </c>
      <c r="E902" t="s">
        <v>1161</v>
      </c>
      <c r="F902" t="s">
        <v>87</v>
      </c>
    </row>
    <row r="903" spans="1:6" x14ac:dyDescent="0.25">
      <c r="A903" t="s">
        <v>1162</v>
      </c>
      <c r="B903">
        <v>1.254888</v>
      </c>
      <c r="C903">
        <v>-108.623</v>
      </c>
      <c r="D903">
        <v>-132.81</v>
      </c>
      <c r="E903">
        <v>0.64376299999999997</v>
      </c>
      <c r="F903" t="s">
        <v>49</v>
      </c>
    </row>
    <row r="904" spans="1:6" x14ac:dyDescent="0.25">
      <c r="A904" t="s">
        <v>1163</v>
      </c>
      <c r="B904">
        <v>1.2365390000000001</v>
      </c>
      <c r="C904">
        <v>-108.622</v>
      </c>
      <c r="D904">
        <v>-131.68600000000001</v>
      </c>
      <c r="E904">
        <v>0.63339999999999996</v>
      </c>
      <c r="F904" t="s">
        <v>13</v>
      </c>
    </row>
    <row r="905" spans="1:6" x14ac:dyDescent="0.25">
      <c r="A905" t="s">
        <v>1164</v>
      </c>
      <c r="B905">
        <v>1.271873</v>
      </c>
      <c r="C905">
        <v>-108.614</v>
      </c>
      <c r="D905">
        <v>-131.76499999999999</v>
      </c>
      <c r="E905">
        <v>0.65436700000000003</v>
      </c>
      <c r="F905" t="s">
        <v>140</v>
      </c>
    </row>
    <row r="906" spans="1:6" x14ac:dyDescent="0.25">
      <c r="A906" t="s">
        <v>1165</v>
      </c>
      <c r="B906">
        <v>1.251598</v>
      </c>
      <c r="C906">
        <v>-108.604</v>
      </c>
      <c r="D906">
        <v>-108.604</v>
      </c>
      <c r="E906">
        <v>0.64194300000000004</v>
      </c>
      <c r="F906" t="s">
        <v>49</v>
      </c>
    </row>
    <row r="907" spans="1:6" x14ac:dyDescent="0.25">
      <c r="A907" t="s">
        <v>1166</v>
      </c>
      <c r="B907">
        <v>1.2720130000000001</v>
      </c>
      <c r="C907">
        <v>-108.598</v>
      </c>
      <c r="D907">
        <v>-133.16900000000001</v>
      </c>
      <c r="E907">
        <v>0.64823699999999995</v>
      </c>
      <c r="F907" t="s">
        <v>26</v>
      </c>
    </row>
    <row r="908" spans="1:6" x14ac:dyDescent="0.25">
      <c r="A908" t="s">
        <v>1167</v>
      </c>
      <c r="B908" t="s">
        <v>1168</v>
      </c>
      <c r="C908">
        <f>-108.594 -109.835</f>
        <v>-218.42899999999997</v>
      </c>
      <c r="D908">
        <f>-131.695 -132.345</f>
        <v>-264.03999999999996</v>
      </c>
      <c r="E908" t="s">
        <v>1169</v>
      </c>
      <c r="F908" t="s">
        <v>220</v>
      </c>
    </row>
    <row r="909" spans="1:6" x14ac:dyDescent="0.25">
      <c r="A909" t="s">
        <v>1170</v>
      </c>
      <c r="B909">
        <v>1.269018</v>
      </c>
      <c r="C909">
        <v>-108.59099999999999</v>
      </c>
      <c r="D909">
        <v>-108.59099999999999</v>
      </c>
      <c r="E909">
        <v>0.653173</v>
      </c>
      <c r="F909" t="s">
        <v>8</v>
      </c>
    </row>
    <row r="910" spans="1:6" x14ac:dyDescent="0.25">
      <c r="A910" t="s">
        <v>1171</v>
      </c>
      <c r="B910">
        <v>1.2145280000000001</v>
      </c>
      <c r="C910">
        <v>-108.57899999999999</v>
      </c>
      <c r="D910">
        <v>-133.93899999999999</v>
      </c>
      <c r="E910">
        <v>0.62329599999999996</v>
      </c>
      <c r="F910" t="s">
        <v>57</v>
      </c>
    </row>
    <row r="911" spans="1:6" x14ac:dyDescent="0.25">
      <c r="A911" t="s">
        <v>1172</v>
      </c>
      <c r="B911" t="s">
        <v>1173</v>
      </c>
      <c r="C911">
        <f>-108.568 -112.401</f>
        <v>-220.96899999999999</v>
      </c>
      <c r="D911">
        <f>-131.385 -134.769</f>
        <v>-266.154</v>
      </c>
      <c r="E911" t="s">
        <v>1174</v>
      </c>
      <c r="F911" t="s">
        <v>220</v>
      </c>
    </row>
    <row r="912" spans="1:6" x14ac:dyDescent="0.25">
      <c r="A912" t="s">
        <v>1175</v>
      </c>
      <c r="B912">
        <v>1.252948</v>
      </c>
      <c r="C912">
        <v>-108.56</v>
      </c>
      <c r="D912">
        <v>-131.61099999999999</v>
      </c>
      <c r="E912">
        <v>0.64577300000000004</v>
      </c>
      <c r="F912" t="s">
        <v>19</v>
      </c>
    </row>
    <row r="913" spans="1:6" x14ac:dyDescent="0.25">
      <c r="A913" t="s">
        <v>1176</v>
      </c>
      <c r="B913">
        <v>1.2444999999999999</v>
      </c>
      <c r="C913">
        <v>-108.55500000000001</v>
      </c>
      <c r="D913">
        <v>-108.55500000000001</v>
      </c>
      <c r="E913">
        <v>0.63841400000000004</v>
      </c>
      <c r="F913" t="s">
        <v>49</v>
      </c>
    </row>
    <row r="914" spans="1:6" x14ac:dyDescent="0.25">
      <c r="A914" t="s">
        <v>1177</v>
      </c>
      <c r="B914">
        <v>1.2313099999999999</v>
      </c>
      <c r="C914">
        <v>-108.54300000000001</v>
      </c>
      <c r="D914">
        <v>-132.58600000000001</v>
      </c>
      <c r="E914">
        <v>0.63287099999999996</v>
      </c>
      <c r="F914" t="s">
        <v>49</v>
      </c>
    </row>
    <row r="915" spans="1:6" x14ac:dyDescent="0.25">
      <c r="A915" t="s">
        <v>1178</v>
      </c>
      <c r="B915">
        <v>1.2589840000000001</v>
      </c>
      <c r="C915">
        <v>-108.54300000000001</v>
      </c>
      <c r="D915">
        <v>-108.54300000000001</v>
      </c>
      <c r="E915">
        <v>0.64361900000000005</v>
      </c>
      <c r="F915" t="s">
        <v>57</v>
      </c>
    </row>
    <row r="916" spans="1:6" x14ac:dyDescent="0.25">
      <c r="A916" t="s">
        <v>1179</v>
      </c>
      <c r="B916">
        <v>1.2218709999999999</v>
      </c>
      <c r="C916">
        <v>-108.541</v>
      </c>
      <c r="D916">
        <v>-136.13300000000001</v>
      </c>
      <c r="E916">
        <v>0.62449600000000005</v>
      </c>
      <c r="F916" t="s">
        <v>24</v>
      </c>
    </row>
    <row r="917" spans="1:6" x14ac:dyDescent="0.25">
      <c r="A917" t="s">
        <v>1180</v>
      </c>
      <c r="B917">
        <v>1.2395430000000001</v>
      </c>
      <c r="C917">
        <v>-108.535</v>
      </c>
      <c r="D917">
        <v>-132.96899999999999</v>
      </c>
      <c r="E917">
        <v>0.63674799999999998</v>
      </c>
      <c r="F917" t="s">
        <v>57</v>
      </c>
    </row>
    <row r="918" spans="1:6" x14ac:dyDescent="0.25">
      <c r="A918" t="s">
        <v>1181</v>
      </c>
      <c r="B918">
        <v>1.253242</v>
      </c>
      <c r="C918">
        <v>-108.526</v>
      </c>
      <c r="D918">
        <v>-131.97800000000001</v>
      </c>
      <c r="E918">
        <v>0.643424</v>
      </c>
      <c r="F918" t="s">
        <v>201</v>
      </c>
    </row>
    <row r="919" spans="1:6" x14ac:dyDescent="0.25">
      <c r="A919" t="s">
        <v>1182</v>
      </c>
      <c r="B919">
        <v>1.233924</v>
      </c>
      <c r="C919">
        <v>-108.52200000000001</v>
      </c>
      <c r="D919">
        <v>-133.04400000000001</v>
      </c>
      <c r="E919">
        <v>0.63299899999999998</v>
      </c>
      <c r="F919" t="s">
        <v>57</v>
      </c>
    </row>
    <row r="920" spans="1:6" x14ac:dyDescent="0.25">
      <c r="A920" t="s">
        <v>1183</v>
      </c>
      <c r="B920">
        <v>1.285493</v>
      </c>
      <c r="C920">
        <v>-108.51600000000001</v>
      </c>
      <c r="D920">
        <v>-132.15899999999999</v>
      </c>
      <c r="E920">
        <v>0.65721799999999997</v>
      </c>
      <c r="F920" t="s">
        <v>11</v>
      </c>
    </row>
    <row r="921" spans="1:6" x14ac:dyDescent="0.25">
      <c r="A921" t="s">
        <v>1184</v>
      </c>
      <c r="B921">
        <v>1.224086</v>
      </c>
      <c r="C921">
        <v>-108.497</v>
      </c>
      <c r="D921">
        <v>-134.02000000000001</v>
      </c>
      <c r="E921">
        <v>0.62733300000000003</v>
      </c>
      <c r="F921" t="s">
        <v>69</v>
      </c>
    </row>
    <row r="922" spans="1:6" x14ac:dyDescent="0.25">
      <c r="A922" t="s">
        <v>1185</v>
      </c>
      <c r="B922">
        <v>1.2342139999999999</v>
      </c>
      <c r="C922">
        <v>-108.495</v>
      </c>
      <c r="D922">
        <v>-132.37200000000001</v>
      </c>
      <c r="E922">
        <v>0.63215200000000005</v>
      </c>
      <c r="F922" t="s">
        <v>49</v>
      </c>
    </row>
    <row r="923" spans="1:6" x14ac:dyDescent="0.25">
      <c r="A923" t="s">
        <v>1186</v>
      </c>
      <c r="B923">
        <v>1.27504</v>
      </c>
      <c r="C923">
        <v>-108.49299999999999</v>
      </c>
      <c r="D923">
        <v>-131.595</v>
      </c>
      <c r="E923">
        <v>0.65586699999999998</v>
      </c>
      <c r="F923" t="s">
        <v>16</v>
      </c>
    </row>
    <row r="924" spans="1:6" x14ac:dyDescent="0.25">
      <c r="A924" t="s">
        <v>1187</v>
      </c>
      <c r="B924">
        <v>1.2392270000000001</v>
      </c>
      <c r="C924">
        <v>-108.49</v>
      </c>
      <c r="D924">
        <v>-132.352</v>
      </c>
      <c r="E924">
        <v>0.63639699999999999</v>
      </c>
      <c r="F924" t="s">
        <v>69</v>
      </c>
    </row>
    <row r="925" spans="1:6" x14ac:dyDescent="0.25">
      <c r="A925" t="s">
        <v>1188</v>
      </c>
      <c r="B925">
        <v>1.2212529999999999</v>
      </c>
      <c r="C925">
        <v>-108.46899999999999</v>
      </c>
      <c r="D925">
        <v>-108.46899999999999</v>
      </c>
      <c r="E925">
        <v>0.62799799999999995</v>
      </c>
      <c r="F925" t="s">
        <v>13</v>
      </c>
    </row>
    <row r="926" spans="1:6" x14ac:dyDescent="0.25">
      <c r="A926" t="s">
        <v>1189</v>
      </c>
      <c r="B926" t="s">
        <v>1190</v>
      </c>
      <c r="C926">
        <f>-108.468 -107.218</f>
        <v>-215.68600000000001</v>
      </c>
      <c r="D926">
        <f>-133.647 -132.66</f>
        <v>-266.30700000000002</v>
      </c>
      <c r="E926" t="s">
        <v>1191</v>
      </c>
      <c r="F926" t="s">
        <v>87</v>
      </c>
    </row>
    <row r="927" spans="1:6" x14ac:dyDescent="0.25">
      <c r="A927" t="s">
        <v>1192</v>
      </c>
      <c r="B927">
        <v>1.2473460000000001</v>
      </c>
      <c r="C927">
        <v>-108.46</v>
      </c>
      <c r="D927">
        <v>-132.26</v>
      </c>
      <c r="E927">
        <v>0.63787899999999997</v>
      </c>
      <c r="F927" t="s">
        <v>49</v>
      </c>
    </row>
    <row r="928" spans="1:6" x14ac:dyDescent="0.25">
      <c r="A928" t="s">
        <v>1193</v>
      </c>
      <c r="B928" t="s">
        <v>1194</v>
      </c>
      <c r="C928">
        <f>-108.451 -115.832</f>
        <v>-224.28299999999999</v>
      </c>
      <c r="D928">
        <f>-131.523 -140.091</f>
        <v>-271.61400000000003</v>
      </c>
      <c r="E928" t="s">
        <v>1195</v>
      </c>
      <c r="F928" t="s">
        <v>53</v>
      </c>
    </row>
    <row r="929" spans="1:6" x14ac:dyDescent="0.25">
      <c r="A929" t="s">
        <v>1196</v>
      </c>
      <c r="B929" t="s">
        <v>1197</v>
      </c>
      <c r="C929">
        <f>-108.45 -115.213</f>
        <v>-223.66300000000001</v>
      </c>
      <c r="D929">
        <f>-132.295 -138.987</f>
        <v>-271.28199999999998</v>
      </c>
      <c r="E929" t="s">
        <v>1198</v>
      </c>
      <c r="F929" t="s">
        <v>187</v>
      </c>
    </row>
    <row r="930" spans="1:6" x14ac:dyDescent="0.25">
      <c r="A930" t="s">
        <v>1199</v>
      </c>
      <c r="B930" t="s">
        <v>1200</v>
      </c>
      <c r="C930">
        <f>-108.444 -108.045</f>
        <v>-216.489</v>
      </c>
      <c r="D930">
        <f>-133.375 -131.384</f>
        <v>-264.75900000000001</v>
      </c>
      <c r="E930" t="s">
        <v>1201</v>
      </c>
      <c r="F930" t="s">
        <v>31</v>
      </c>
    </row>
    <row r="931" spans="1:6" x14ac:dyDescent="0.25">
      <c r="A931" t="s">
        <v>1202</v>
      </c>
      <c r="B931">
        <v>1.2525170000000001</v>
      </c>
      <c r="C931">
        <v>-108.432</v>
      </c>
      <c r="D931">
        <v>-108.432</v>
      </c>
      <c r="E931">
        <v>0.64027999999999996</v>
      </c>
      <c r="F931" t="s">
        <v>194</v>
      </c>
    </row>
    <row r="932" spans="1:6" x14ac:dyDescent="0.25">
      <c r="A932" t="s">
        <v>1203</v>
      </c>
      <c r="B932">
        <v>1.2682850000000001</v>
      </c>
      <c r="C932">
        <v>-108.43</v>
      </c>
      <c r="D932">
        <v>-108.43</v>
      </c>
      <c r="E932">
        <v>0.65016099999999999</v>
      </c>
      <c r="F932" t="s">
        <v>211</v>
      </c>
    </row>
    <row r="933" spans="1:6" x14ac:dyDescent="0.25">
      <c r="A933" t="s">
        <v>1204</v>
      </c>
      <c r="B933">
        <v>1.221114</v>
      </c>
      <c r="C933">
        <v>-108.422</v>
      </c>
      <c r="D933">
        <v>-132.15600000000001</v>
      </c>
      <c r="E933">
        <v>0.62733700000000003</v>
      </c>
      <c r="F933" t="s">
        <v>57</v>
      </c>
    </row>
    <row r="934" spans="1:6" x14ac:dyDescent="0.25">
      <c r="A934" t="s">
        <v>1205</v>
      </c>
      <c r="B934">
        <v>1.2665690000000001</v>
      </c>
      <c r="C934">
        <v>-108.419</v>
      </c>
      <c r="D934">
        <v>-132.07400000000001</v>
      </c>
      <c r="E934">
        <v>0.64996299999999996</v>
      </c>
      <c r="F934" t="s">
        <v>13</v>
      </c>
    </row>
    <row r="935" spans="1:6" x14ac:dyDescent="0.25">
      <c r="A935" t="s">
        <v>1206</v>
      </c>
      <c r="B935">
        <v>1.2331859999999999</v>
      </c>
      <c r="C935">
        <v>-108.417</v>
      </c>
      <c r="D935">
        <v>-132.512</v>
      </c>
      <c r="E935">
        <v>0.63265199999999999</v>
      </c>
      <c r="F935" t="s">
        <v>13</v>
      </c>
    </row>
    <row r="936" spans="1:6" x14ac:dyDescent="0.25">
      <c r="A936" t="s">
        <v>1207</v>
      </c>
      <c r="B936">
        <v>1.2706170000000001</v>
      </c>
      <c r="C936">
        <v>-108.39700000000001</v>
      </c>
      <c r="D936">
        <v>-134.429</v>
      </c>
      <c r="E936">
        <v>0.65347100000000002</v>
      </c>
      <c r="F936" t="s">
        <v>194</v>
      </c>
    </row>
    <row r="937" spans="1:6" x14ac:dyDescent="0.25">
      <c r="A937" t="s">
        <v>1208</v>
      </c>
      <c r="B937" t="s">
        <v>1209</v>
      </c>
      <c r="C937">
        <f>-108.375 -106.622</f>
        <v>-214.99700000000001</v>
      </c>
      <c r="D937">
        <f>-134.032 -130.855</f>
        <v>-264.887</v>
      </c>
      <c r="E937" t="s">
        <v>1210</v>
      </c>
      <c r="F937" t="s">
        <v>77</v>
      </c>
    </row>
    <row r="938" spans="1:6" x14ac:dyDescent="0.25">
      <c r="A938" t="s">
        <v>1211</v>
      </c>
      <c r="B938">
        <v>1.2444230000000001</v>
      </c>
      <c r="C938">
        <v>-108.36499999999999</v>
      </c>
      <c r="D938">
        <v>-131.11699999999999</v>
      </c>
      <c r="E938">
        <v>0.63878900000000005</v>
      </c>
      <c r="F938" t="s">
        <v>211</v>
      </c>
    </row>
    <row r="939" spans="1:6" x14ac:dyDescent="0.25">
      <c r="A939" t="s">
        <v>1212</v>
      </c>
      <c r="B939">
        <v>1.178293</v>
      </c>
      <c r="C939">
        <v>-108.354</v>
      </c>
      <c r="D939">
        <v>-132.547</v>
      </c>
      <c r="E939">
        <v>0.60428199999999999</v>
      </c>
      <c r="F939" t="s">
        <v>57</v>
      </c>
    </row>
    <row r="940" spans="1:6" x14ac:dyDescent="0.25">
      <c r="A940" t="s">
        <v>1213</v>
      </c>
      <c r="B940">
        <v>1.2395210000000001</v>
      </c>
      <c r="C940">
        <v>-108.349</v>
      </c>
      <c r="D940">
        <v>-136.61600000000001</v>
      </c>
      <c r="E940">
        <v>0.637382</v>
      </c>
      <c r="F940" t="s">
        <v>8</v>
      </c>
    </row>
    <row r="941" spans="1:6" x14ac:dyDescent="0.25">
      <c r="A941" t="s">
        <v>1214</v>
      </c>
      <c r="B941">
        <v>1.2810520000000001</v>
      </c>
      <c r="C941">
        <v>-108.337</v>
      </c>
      <c r="D941">
        <v>-131.679</v>
      </c>
      <c r="E941">
        <v>0.65857100000000002</v>
      </c>
      <c r="F941" t="s">
        <v>24</v>
      </c>
    </row>
    <row r="942" spans="1:6" x14ac:dyDescent="0.25">
      <c r="A942" t="s">
        <v>1215</v>
      </c>
      <c r="B942">
        <v>1.2449349999999999</v>
      </c>
      <c r="C942">
        <v>-108.33499999999999</v>
      </c>
      <c r="D942">
        <v>-108.33499999999999</v>
      </c>
      <c r="E942">
        <v>0.63596799999999998</v>
      </c>
      <c r="F942" t="s">
        <v>211</v>
      </c>
    </row>
    <row r="943" spans="1:6" x14ac:dyDescent="0.25">
      <c r="A943" t="s">
        <v>1216</v>
      </c>
      <c r="B943">
        <v>1.231735</v>
      </c>
      <c r="C943">
        <v>-108.32599999999999</v>
      </c>
      <c r="D943">
        <v>-133.33799999999999</v>
      </c>
      <c r="E943">
        <v>0.63383800000000001</v>
      </c>
      <c r="F943" t="s">
        <v>13</v>
      </c>
    </row>
    <row r="944" spans="1:6" x14ac:dyDescent="0.25">
      <c r="A944" t="s">
        <v>1217</v>
      </c>
      <c r="B944">
        <v>1.2177929999999999</v>
      </c>
      <c r="C944">
        <v>-108.32299999999999</v>
      </c>
      <c r="D944">
        <v>-132.06299999999999</v>
      </c>
      <c r="E944">
        <v>0.62358800000000003</v>
      </c>
      <c r="F944" t="s">
        <v>19</v>
      </c>
    </row>
    <row r="945" spans="1:6" x14ac:dyDescent="0.25">
      <c r="A945" t="s">
        <v>1218</v>
      </c>
      <c r="B945">
        <v>1.2140850000000001</v>
      </c>
      <c r="C945">
        <v>-108.321</v>
      </c>
      <c r="D945">
        <v>-134.19800000000001</v>
      </c>
      <c r="E945">
        <v>0.62390699999999999</v>
      </c>
      <c r="F945" t="s">
        <v>19</v>
      </c>
    </row>
    <row r="946" spans="1:6" x14ac:dyDescent="0.25">
      <c r="A946" t="s">
        <v>1219</v>
      </c>
      <c r="B946">
        <v>1.2688740000000001</v>
      </c>
      <c r="C946">
        <v>-108.30200000000001</v>
      </c>
      <c r="D946">
        <v>-132.434</v>
      </c>
      <c r="E946">
        <v>0.64948099999999998</v>
      </c>
      <c r="F946" t="s">
        <v>13</v>
      </c>
    </row>
    <row r="947" spans="1:6" x14ac:dyDescent="0.25">
      <c r="A947" t="s">
        <v>1220</v>
      </c>
      <c r="B947">
        <v>1.2539009999999999</v>
      </c>
      <c r="C947">
        <v>-108.294</v>
      </c>
      <c r="D947">
        <v>-131.44900000000001</v>
      </c>
      <c r="E947">
        <v>0.64315100000000003</v>
      </c>
      <c r="F947" t="s">
        <v>57</v>
      </c>
    </row>
    <row r="948" spans="1:6" x14ac:dyDescent="0.25">
      <c r="A948" t="s">
        <v>1221</v>
      </c>
      <c r="B948">
        <v>1.251522</v>
      </c>
      <c r="C948">
        <v>-108.286</v>
      </c>
      <c r="D948">
        <v>-108.286</v>
      </c>
      <c r="E948">
        <v>0.64244400000000002</v>
      </c>
      <c r="F948" t="s">
        <v>57</v>
      </c>
    </row>
    <row r="949" spans="1:6" x14ac:dyDescent="0.25">
      <c r="A949" t="s">
        <v>1222</v>
      </c>
      <c r="B949">
        <v>1.2481070000000001</v>
      </c>
      <c r="C949">
        <v>-108.282</v>
      </c>
      <c r="D949">
        <v>-131.154</v>
      </c>
      <c r="E949">
        <v>0.63949199999999995</v>
      </c>
      <c r="F949" t="s">
        <v>24</v>
      </c>
    </row>
    <row r="950" spans="1:6" x14ac:dyDescent="0.25">
      <c r="A950" t="s">
        <v>1223</v>
      </c>
      <c r="B950" t="s">
        <v>1224</v>
      </c>
      <c r="C950">
        <f>-108.277 -110.94</f>
        <v>-219.21699999999998</v>
      </c>
      <c r="D950">
        <f>-131.424 -134.698</f>
        <v>-266.12200000000001</v>
      </c>
      <c r="E950" t="s">
        <v>1225</v>
      </c>
      <c r="F950" t="s">
        <v>37</v>
      </c>
    </row>
    <row r="951" spans="1:6" x14ac:dyDescent="0.25">
      <c r="A951" t="s">
        <v>1226</v>
      </c>
      <c r="B951">
        <v>1.2556780000000001</v>
      </c>
      <c r="C951">
        <v>-108.274</v>
      </c>
      <c r="D951">
        <v>-131.93700000000001</v>
      </c>
      <c r="E951">
        <v>0.64215199999999995</v>
      </c>
      <c r="F951" t="s">
        <v>22</v>
      </c>
    </row>
    <row r="952" spans="1:6" x14ac:dyDescent="0.25">
      <c r="A952" t="s">
        <v>1227</v>
      </c>
      <c r="B952">
        <v>1.2518279999999999</v>
      </c>
      <c r="C952">
        <v>-108.27</v>
      </c>
      <c r="D952">
        <v>-131.46600000000001</v>
      </c>
      <c r="E952">
        <v>0.64193800000000001</v>
      </c>
      <c r="F952" t="s">
        <v>13</v>
      </c>
    </row>
    <row r="953" spans="1:6" x14ac:dyDescent="0.25">
      <c r="A953" t="s">
        <v>1228</v>
      </c>
      <c r="B953">
        <v>1.19757</v>
      </c>
      <c r="C953">
        <v>-108.264</v>
      </c>
      <c r="D953">
        <v>-108.264</v>
      </c>
      <c r="E953">
        <v>0.61720900000000001</v>
      </c>
      <c r="F953" t="s">
        <v>8</v>
      </c>
    </row>
    <row r="954" spans="1:6" x14ac:dyDescent="0.25">
      <c r="A954" t="s">
        <v>1229</v>
      </c>
      <c r="B954">
        <v>1.253924</v>
      </c>
      <c r="C954">
        <v>-108.262</v>
      </c>
      <c r="D954">
        <v>-108.262</v>
      </c>
      <c r="E954">
        <v>0.64255700000000004</v>
      </c>
      <c r="F954" t="s">
        <v>13</v>
      </c>
    </row>
    <row r="955" spans="1:6" x14ac:dyDescent="0.25">
      <c r="A955" t="s">
        <v>1230</v>
      </c>
      <c r="B955">
        <v>1.2404329999999999</v>
      </c>
      <c r="C955">
        <v>-108.261</v>
      </c>
      <c r="D955">
        <v>-132.22300000000001</v>
      </c>
      <c r="E955">
        <v>0.63498900000000003</v>
      </c>
      <c r="F955" t="s">
        <v>26</v>
      </c>
    </row>
    <row r="956" spans="1:6" x14ac:dyDescent="0.25">
      <c r="A956" t="s">
        <v>1231</v>
      </c>
      <c r="B956">
        <v>1.2968040000000001</v>
      </c>
      <c r="C956">
        <v>-108.259</v>
      </c>
      <c r="D956">
        <v>-133.02600000000001</v>
      </c>
      <c r="E956">
        <v>0.66484900000000002</v>
      </c>
      <c r="F956" t="s">
        <v>8</v>
      </c>
    </row>
    <row r="957" spans="1:6" x14ac:dyDescent="0.25">
      <c r="A957" t="s">
        <v>1232</v>
      </c>
      <c r="B957">
        <v>1.2879370000000001</v>
      </c>
      <c r="C957">
        <v>-108.258</v>
      </c>
      <c r="D957">
        <v>-131.59899999999999</v>
      </c>
      <c r="E957">
        <v>0.66071299999999999</v>
      </c>
      <c r="F957" t="s">
        <v>26</v>
      </c>
    </row>
    <row r="958" spans="1:6" x14ac:dyDescent="0.25">
      <c r="A958" t="s">
        <v>1233</v>
      </c>
      <c r="B958">
        <v>1.233778</v>
      </c>
      <c r="C958">
        <v>-108.25700000000001</v>
      </c>
      <c r="D958">
        <v>-133.262</v>
      </c>
      <c r="E958">
        <v>0.63335200000000003</v>
      </c>
      <c r="F958" t="s">
        <v>201</v>
      </c>
    </row>
    <row r="959" spans="1:6" x14ac:dyDescent="0.25">
      <c r="A959" t="s">
        <v>1234</v>
      </c>
      <c r="B959">
        <v>1.2385999999999999</v>
      </c>
      <c r="C959">
        <v>-108.245</v>
      </c>
      <c r="D959">
        <v>-133.649</v>
      </c>
      <c r="E959">
        <v>0.63501600000000002</v>
      </c>
      <c r="F959" t="s">
        <v>8</v>
      </c>
    </row>
    <row r="960" spans="1:6" x14ac:dyDescent="0.25">
      <c r="A960" t="s">
        <v>1235</v>
      </c>
      <c r="B960" t="s">
        <v>1236</v>
      </c>
      <c r="C960">
        <f>-108.244 -111.162</f>
        <v>-219.40600000000001</v>
      </c>
      <c r="D960">
        <f>-108.244 -134.989</f>
        <v>-243.233</v>
      </c>
      <c r="E960" t="s">
        <v>1237</v>
      </c>
      <c r="F960" t="s">
        <v>94</v>
      </c>
    </row>
    <row r="961" spans="1:6" x14ac:dyDescent="0.25">
      <c r="A961" t="s">
        <v>1238</v>
      </c>
      <c r="B961">
        <v>1.2758160000000001</v>
      </c>
      <c r="C961">
        <v>-108.241</v>
      </c>
      <c r="D961">
        <v>-132.51499999999999</v>
      </c>
      <c r="E961">
        <v>0.65576400000000001</v>
      </c>
      <c r="F961" t="s">
        <v>13</v>
      </c>
    </row>
    <row r="962" spans="1:6" x14ac:dyDescent="0.25">
      <c r="A962" t="s">
        <v>1239</v>
      </c>
      <c r="B962">
        <v>1.2587140000000001</v>
      </c>
      <c r="C962">
        <v>-108.23399999999999</v>
      </c>
      <c r="D962">
        <v>-108.23399999999999</v>
      </c>
      <c r="E962">
        <v>0.64504300000000003</v>
      </c>
      <c r="F962" t="s">
        <v>13</v>
      </c>
    </row>
    <row r="963" spans="1:6" x14ac:dyDescent="0.25">
      <c r="A963" t="s">
        <v>1240</v>
      </c>
      <c r="B963" t="s">
        <v>1241</v>
      </c>
      <c r="C963">
        <f>-108.233 -111.272</f>
        <v>-219.505</v>
      </c>
      <c r="D963">
        <f>-133.664 -134.149</f>
        <v>-267.81299999999999</v>
      </c>
      <c r="E963" t="s">
        <v>1242</v>
      </c>
      <c r="F963" t="s">
        <v>87</v>
      </c>
    </row>
    <row r="964" spans="1:6" x14ac:dyDescent="0.25">
      <c r="A964" t="s">
        <v>1243</v>
      </c>
      <c r="B964">
        <v>1.249574</v>
      </c>
      <c r="C964">
        <v>-108.21599999999999</v>
      </c>
      <c r="D964">
        <v>-133.22900000000001</v>
      </c>
      <c r="E964">
        <v>0.64353499999999997</v>
      </c>
      <c r="F964" t="s">
        <v>22</v>
      </c>
    </row>
    <row r="965" spans="1:6" x14ac:dyDescent="0.25">
      <c r="A965" t="s">
        <v>1244</v>
      </c>
      <c r="B965">
        <v>1.237643</v>
      </c>
      <c r="C965">
        <v>-108.211</v>
      </c>
      <c r="D965">
        <v>-132.06100000000001</v>
      </c>
      <c r="E965">
        <v>0.63336499999999996</v>
      </c>
      <c r="F965" t="s">
        <v>169</v>
      </c>
    </row>
    <row r="966" spans="1:6" x14ac:dyDescent="0.25">
      <c r="A966" t="s">
        <v>1245</v>
      </c>
      <c r="B966">
        <v>1.2322139999999999</v>
      </c>
      <c r="C966">
        <v>-108.191</v>
      </c>
      <c r="D966">
        <v>-132.11199999999999</v>
      </c>
      <c r="E966">
        <v>0.63082700000000003</v>
      </c>
      <c r="F966" t="s">
        <v>1246</v>
      </c>
    </row>
    <row r="967" spans="1:6" x14ac:dyDescent="0.25">
      <c r="A967" t="s">
        <v>1247</v>
      </c>
      <c r="B967">
        <v>1.2399020000000001</v>
      </c>
      <c r="C967">
        <v>-108.191</v>
      </c>
      <c r="D967">
        <v>-132.167</v>
      </c>
      <c r="E967">
        <v>0.63751599999999997</v>
      </c>
      <c r="F967" t="s">
        <v>16</v>
      </c>
    </row>
    <row r="968" spans="1:6" x14ac:dyDescent="0.25">
      <c r="A968" t="s">
        <v>1248</v>
      </c>
      <c r="B968">
        <v>1.2304999999999999</v>
      </c>
      <c r="C968">
        <v>-108.15300000000001</v>
      </c>
      <c r="D968">
        <v>-131.76499999999999</v>
      </c>
      <c r="E968">
        <v>0.63337100000000002</v>
      </c>
      <c r="F968" t="s">
        <v>13</v>
      </c>
    </row>
    <row r="969" spans="1:6" x14ac:dyDescent="0.25">
      <c r="A969" t="s">
        <v>1249</v>
      </c>
      <c r="B969">
        <v>1.2413749999999999</v>
      </c>
      <c r="C969">
        <v>-108.152</v>
      </c>
      <c r="D969">
        <v>-108.152</v>
      </c>
      <c r="E969">
        <v>0.63952200000000003</v>
      </c>
      <c r="F969" t="s">
        <v>19</v>
      </c>
    </row>
    <row r="970" spans="1:6" x14ac:dyDescent="0.25">
      <c r="A970" t="s">
        <v>1250</v>
      </c>
      <c r="B970">
        <v>1.2689379999999999</v>
      </c>
      <c r="C970">
        <v>-108.142</v>
      </c>
      <c r="D970">
        <v>-131.279</v>
      </c>
      <c r="E970">
        <v>0.65127199999999996</v>
      </c>
      <c r="F970" t="s">
        <v>57</v>
      </c>
    </row>
    <row r="971" spans="1:6" x14ac:dyDescent="0.25">
      <c r="A971" t="s">
        <v>1251</v>
      </c>
      <c r="B971">
        <v>1.2645230000000001</v>
      </c>
      <c r="C971">
        <v>-108.129</v>
      </c>
      <c r="D971">
        <v>-129.61799999999999</v>
      </c>
      <c r="E971">
        <v>0.64963099999999996</v>
      </c>
      <c r="F971" t="s">
        <v>16</v>
      </c>
    </row>
    <row r="972" spans="1:6" x14ac:dyDescent="0.25">
      <c r="A972" t="s">
        <v>1252</v>
      </c>
      <c r="B972">
        <v>1.227258</v>
      </c>
      <c r="C972">
        <v>-108.113</v>
      </c>
      <c r="D972">
        <v>-132.35400000000001</v>
      </c>
      <c r="E972">
        <v>0.62694300000000003</v>
      </c>
      <c r="F972" t="s">
        <v>13</v>
      </c>
    </row>
    <row r="973" spans="1:6" x14ac:dyDescent="0.25">
      <c r="A973" t="s">
        <v>1253</v>
      </c>
      <c r="B973">
        <v>1.2316480000000001</v>
      </c>
      <c r="C973">
        <v>-108.107</v>
      </c>
      <c r="D973">
        <v>-133.73500000000001</v>
      </c>
      <c r="E973">
        <v>0.63052900000000001</v>
      </c>
      <c r="F973" t="s">
        <v>57</v>
      </c>
    </row>
    <row r="974" spans="1:6" x14ac:dyDescent="0.25">
      <c r="A974" t="s">
        <v>1254</v>
      </c>
      <c r="B974" t="s">
        <v>1255</v>
      </c>
      <c r="C974">
        <f>-108.098 -106.196</f>
        <v>-214.29399999999998</v>
      </c>
      <c r="D974">
        <f>-130.838 -130.618</f>
        <v>-261.45600000000002</v>
      </c>
      <c r="E974" t="s">
        <v>1256</v>
      </c>
      <c r="F974" t="s">
        <v>187</v>
      </c>
    </row>
    <row r="975" spans="1:6" x14ac:dyDescent="0.25">
      <c r="A975" t="s">
        <v>1257</v>
      </c>
      <c r="B975">
        <v>1.246618</v>
      </c>
      <c r="C975">
        <v>-108.09699999999999</v>
      </c>
      <c r="D975">
        <v>-133.11000000000001</v>
      </c>
      <c r="E975">
        <v>0.63925100000000001</v>
      </c>
      <c r="F975" t="s">
        <v>57</v>
      </c>
    </row>
    <row r="976" spans="1:6" x14ac:dyDescent="0.25">
      <c r="A976" t="s">
        <v>1258</v>
      </c>
      <c r="B976">
        <v>1.2670410000000001</v>
      </c>
      <c r="C976">
        <v>-108.07899999999999</v>
      </c>
      <c r="D976">
        <v>-132.09800000000001</v>
      </c>
      <c r="E976">
        <v>0.64933099999999999</v>
      </c>
      <c r="F976" t="s">
        <v>24</v>
      </c>
    </row>
    <row r="977" spans="1:6" x14ac:dyDescent="0.25">
      <c r="A977" t="s">
        <v>1259</v>
      </c>
      <c r="B977">
        <v>1.242062</v>
      </c>
      <c r="C977">
        <v>-108.078</v>
      </c>
      <c r="D977">
        <v>-146.964</v>
      </c>
      <c r="E977">
        <v>0.635598</v>
      </c>
      <c r="F977" t="s">
        <v>69</v>
      </c>
    </row>
    <row r="978" spans="1:6" x14ac:dyDescent="0.25">
      <c r="A978" t="s">
        <v>1260</v>
      </c>
      <c r="B978">
        <v>1.2576240000000001</v>
      </c>
      <c r="C978">
        <v>-108.06699999999999</v>
      </c>
      <c r="D978">
        <v>-131.90199999999999</v>
      </c>
      <c r="E978">
        <v>0.64553400000000005</v>
      </c>
      <c r="F978" t="s">
        <v>57</v>
      </c>
    </row>
    <row r="979" spans="1:6" x14ac:dyDescent="0.25">
      <c r="A979" t="s">
        <v>1261</v>
      </c>
      <c r="B979">
        <v>1.2045330000000001</v>
      </c>
      <c r="C979">
        <v>-108.063</v>
      </c>
      <c r="D979">
        <v>-131.494</v>
      </c>
      <c r="E979">
        <v>0.61481300000000005</v>
      </c>
      <c r="F979" t="s">
        <v>22</v>
      </c>
    </row>
    <row r="980" spans="1:6" x14ac:dyDescent="0.25">
      <c r="A980" t="s">
        <v>1262</v>
      </c>
      <c r="B980">
        <v>1.278079</v>
      </c>
      <c r="C980">
        <v>-108.057</v>
      </c>
      <c r="D980">
        <v>-132.33500000000001</v>
      </c>
      <c r="E980">
        <v>0.655775</v>
      </c>
      <c r="F980" t="s">
        <v>69</v>
      </c>
    </row>
    <row r="981" spans="1:6" x14ac:dyDescent="0.25">
      <c r="A981" t="s">
        <v>1263</v>
      </c>
      <c r="B981">
        <v>1.228337</v>
      </c>
      <c r="C981">
        <v>-108.057</v>
      </c>
      <c r="D981">
        <v>-108.057</v>
      </c>
      <c r="E981">
        <v>0.630498</v>
      </c>
      <c r="F981" t="s">
        <v>401</v>
      </c>
    </row>
    <row r="982" spans="1:6" x14ac:dyDescent="0.25">
      <c r="A982" t="s">
        <v>1264</v>
      </c>
      <c r="B982">
        <v>1.2485360000000001</v>
      </c>
      <c r="C982">
        <v>-108.054</v>
      </c>
      <c r="D982">
        <v>-132.405</v>
      </c>
      <c r="E982">
        <v>0.64161100000000004</v>
      </c>
      <c r="F982" t="s">
        <v>140</v>
      </c>
    </row>
    <row r="983" spans="1:6" x14ac:dyDescent="0.25">
      <c r="A983" t="s">
        <v>1265</v>
      </c>
      <c r="B983">
        <v>1.235924</v>
      </c>
      <c r="C983">
        <v>-108.051</v>
      </c>
      <c r="D983">
        <v>-132.43199999999999</v>
      </c>
      <c r="E983">
        <v>0.63204499999999997</v>
      </c>
      <c r="F983" t="s">
        <v>169</v>
      </c>
    </row>
    <row r="984" spans="1:6" x14ac:dyDescent="0.25">
      <c r="A984" t="s">
        <v>1266</v>
      </c>
      <c r="B984" t="s">
        <v>1267</v>
      </c>
      <c r="C984">
        <f>-108.033 -108.508</f>
        <v>-216.541</v>
      </c>
      <c r="D984">
        <f>-131.566 -108.508</f>
        <v>-240.07400000000001</v>
      </c>
      <c r="E984" t="s">
        <v>1268</v>
      </c>
      <c r="F984" t="s">
        <v>87</v>
      </c>
    </row>
    <row r="985" spans="1:6" x14ac:dyDescent="0.25">
      <c r="A985" t="s">
        <v>1269</v>
      </c>
      <c r="B985">
        <v>1.259347</v>
      </c>
      <c r="C985">
        <v>-108.03</v>
      </c>
      <c r="D985">
        <v>-132.03200000000001</v>
      </c>
      <c r="E985">
        <v>0.64795800000000003</v>
      </c>
      <c r="F985" t="s">
        <v>13</v>
      </c>
    </row>
    <row r="986" spans="1:6" x14ac:dyDescent="0.25">
      <c r="A986" t="s">
        <v>1270</v>
      </c>
      <c r="B986">
        <v>1.2983910000000001</v>
      </c>
      <c r="C986">
        <v>-108.026</v>
      </c>
      <c r="D986">
        <v>-108.026</v>
      </c>
      <c r="E986">
        <v>0.66765799999999997</v>
      </c>
      <c r="F986" t="s">
        <v>13</v>
      </c>
    </row>
    <row r="987" spans="1:6" x14ac:dyDescent="0.25">
      <c r="A987" t="s">
        <v>1271</v>
      </c>
      <c r="B987" t="s">
        <v>1272</v>
      </c>
      <c r="C987">
        <f>-108.025 -109.016</f>
        <v>-217.041</v>
      </c>
      <c r="D987">
        <f>-132.054 -109.016</f>
        <v>-241.07</v>
      </c>
      <c r="E987" t="s">
        <v>1273</v>
      </c>
      <c r="F987" t="s">
        <v>31</v>
      </c>
    </row>
    <row r="988" spans="1:6" x14ac:dyDescent="0.25">
      <c r="A988" t="s">
        <v>1274</v>
      </c>
      <c r="B988">
        <v>1.2415039999999999</v>
      </c>
      <c r="C988">
        <v>-108.021</v>
      </c>
      <c r="D988">
        <v>-131.48400000000001</v>
      </c>
      <c r="E988">
        <v>0.63519800000000004</v>
      </c>
      <c r="F988" t="s">
        <v>11</v>
      </c>
    </row>
    <row r="989" spans="1:6" x14ac:dyDescent="0.25">
      <c r="A989" t="s">
        <v>1275</v>
      </c>
      <c r="B989">
        <v>1.2258359999999999</v>
      </c>
      <c r="C989">
        <v>-108.009</v>
      </c>
      <c r="D989">
        <v>-134.44200000000001</v>
      </c>
      <c r="E989">
        <v>0.62658800000000003</v>
      </c>
      <c r="F989" t="s">
        <v>8</v>
      </c>
    </row>
    <row r="990" spans="1:6" x14ac:dyDescent="0.25">
      <c r="A990" t="s">
        <v>1276</v>
      </c>
      <c r="B990">
        <v>1.277525</v>
      </c>
      <c r="C990">
        <v>-107.99299999999999</v>
      </c>
      <c r="D990">
        <v>-133.50800000000001</v>
      </c>
      <c r="E990">
        <v>0.65654500000000005</v>
      </c>
      <c r="F990" t="s">
        <v>262</v>
      </c>
    </row>
    <row r="991" spans="1:6" x14ac:dyDescent="0.25">
      <c r="A991" t="s">
        <v>1277</v>
      </c>
      <c r="B991">
        <v>1.222631</v>
      </c>
      <c r="C991">
        <v>-107.99299999999999</v>
      </c>
      <c r="D991">
        <v>-131.09</v>
      </c>
      <c r="E991">
        <v>0.62657799999999997</v>
      </c>
      <c r="F991" t="s">
        <v>201</v>
      </c>
    </row>
    <row r="992" spans="1:6" x14ac:dyDescent="0.25">
      <c r="A992" t="s">
        <v>1278</v>
      </c>
      <c r="B992">
        <v>1.2110749999999999</v>
      </c>
      <c r="C992">
        <v>-107.99</v>
      </c>
      <c r="D992">
        <v>-107.99</v>
      </c>
      <c r="E992">
        <v>0.62231199999999998</v>
      </c>
      <c r="F992" t="s">
        <v>24</v>
      </c>
    </row>
    <row r="993" spans="1:6" x14ac:dyDescent="0.25">
      <c r="A993" t="s">
        <v>1279</v>
      </c>
      <c r="B993">
        <v>1.2422029999999999</v>
      </c>
      <c r="C993">
        <v>-107.989</v>
      </c>
      <c r="D993">
        <v>-132.54</v>
      </c>
      <c r="E993">
        <v>0.63802999999999999</v>
      </c>
      <c r="F993" t="s">
        <v>13</v>
      </c>
    </row>
    <row r="994" spans="1:6" x14ac:dyDescent="0.25">
      <c r="A994" t="s">
        <v>1280</v>
      </c>
      <c r="B994">
        <v>1.277161</v>
      </c>
      <c r="C994">
        <v>-107.968</v>
      </c>
      <c r="D994">
        <v>-133.51599999999999</v>
      </c>
      <c r="E994">
        <v>0.65740299999999996</v>
      </c>
      <c r="F994" t="s">
        <v>144</v>
      </c>
    </row>
    <row r="995" spans="1:6" x14ac:dyDescent="0.25">
      <c r="A995" t="s">
        <v>1281</v>
      </c>
      <c r="B995" t="s">
        <v>1282</v>
      </c>
      <c r="C995">
        <f>-107.963 -123.215</f>
        <v>-231.178</v>
      </c>
      <c r="D995">
        <f>-133.551 -145.594</f>
        <v>-279.14499999999998</v>
      </c>
      <c r="E995" t="s">
        <v>1283</v>
      </c>
      <c r="F995" t="s">
        <v>53</v>
      </c>
    </row>
    <row r="996" spans="1:6" x14ac:dyDescent="0.25">
      <c r="A996" t="s">
        <v>1284</v>
      </c>
      <c r="B996">
        <v>1.2768139999999999</v>
      </c>
      <c r="C996">
        <v>-107.956</v>
      </c>
      <c r="D996">
        <v>-133.49799999999999</v>
      </c>
      <c r="E996">
        <v>0.65675700000000004</v>
      </c>
      <c r="F996" t="s">
        <v>144</v>
      </c>
    </row>
    <row r="997" spans="1:6" x14ac:dyDescent="0.25">
      <c r="A997" t="s">
        <v>1285</v>
      </c>
      <c r="B997">
        <v>1.257512</v>
      </c>
      <c r="C997">
        <v>-107.956</v>
      </c>
      <c r="D997">
        <v>-134.13800000000001</v>
      </c>
      <c r="E997">
        <v>0.64560300000000004</v>
      </c>
      <c r="F997" t="s">
        <v>57</v>
      </c>
    </row>
    <row r="998" spans="1:6" x14ac:dyDescent="0.25">
      <c r="A998" t="s">
        <v>1286</v>
      </c>
      <c r="B998" t="s">
        <v>1287</v>
      </c>
      <c r="C998">
        <f>-107.948 -110.099</f>
        <v>-218.047</v>
      </c>
      <c r="D998">
        <f>-132.565 -134.039</f>
        <v>-266.60399999999998</v>
      </c>
      <c r="E998" t="s">
        <v>1288</v>
      </c>
      <c r="F998" t="s">
        <v>94</v>
      </c>
    </row>
    <row r="999" spans="1:6" x14ac:dyDescent="0.25">
      <c r="A999" t="s">
        <v>1289</v>
      </c>
      <c r="B999">
        <v>1.276491</v>
      </c>
      <c r="C999">
        <v>-107.94</v>
      </c>
      <c r="D999">
        <v>-133.48099999999999</v>
      </c>
      <c r="E999">
        <v>0.65715299999999999</v>
      </c>
      <c r="F999" t="s">
        <v>144</v>
      </c>
    </row>
    <row r="1000" spans="1:6" x14ac:dyDescent="0.25">
      <c r="A1000" t="s">
        <v>1290</v>
      </c>
      <c r="B1000">
        <v>1.2661370000000001</v>
      </c>
      <c r="C1000">
        <v>-107.932</v>
      </c>
      <c r="D1000">
        <v>-131.59200000000001</v>
      </c>
      <c r="E1000">
        <v>0.65104899999999999</v>
      </c>
      <c r="F1000" t="s">
        <v>13</v>
      </c>
    </row>
    <row r="1001" spans="1:6" x14ac:dyDescent="0.25">
      <c r="A1001" t="s">
        <v>1291</v>
      </c>
      <c r="B1001">
        <v>1.246515</v>
      </c>
      <c r="C1001">
        <v>-107.91500000000001</v>
      </c>
      <c r="D1001">
        <v>-133.87200000000001</v>
      </c>
      <c r="E1001">
        <v>0.63820200000000005</v>
      </c>
      <c r="F1001" t="s">
        <v>262</v>
      </c>
    </row>
    <row r="1002" spans="1:6" x14ac:dyDescent="0.25">
      <c r="A1002" t="s">
        <v>1292</v>
      </c>
      <c r="B1002">
        <v>1.2762089999999999</v>
      </c>
      <c r="C1002">
        <v>-107.90600000000001</v>
      </c>
      <c r="D1002">
        <v>-132.31899999999999</v>
      </c>
      <c r="E1002">
        <v>0.65501299999999996</v>
      </c>
      <c r="F1002" t="s">
        <v>246</v>
      </c>
    </row>
    <row r="1003" spans="1:6" x14ac:dyDescent="0.25">
      <c r="A1003" t="s">
        <v>1293</v>
      </c>
      <c r="B1003">
        <v>1.2734650000000001</v>
      </c>
      <c r="C1003">
        <v>-107.90300000000001</v>
      </c>
      <c r="D1003">
        <v>-131.709</v>
      </c>
      <c r="E1003">
        <v>0.65333300000000005</v>
      </c>
      <c r="F1003" t="s">
        <v>201</v>
      </c>
    </row>
    <row r="1004" spans="1:6" x14ac:dyDescent="0.25">
      <c r="A1004" t="s">
        <v>1294</v>
      </c>
      <c r="B1004">
        <v>1.2005710000000001</v>
      </c>
      <c r="C1004">
        <v>-107.887</v>
      </c>
      <c r="D1004">
        <v>-133.357</v>
      </c>
      <c r="E1004">
        <v>0.61519699999999999</v>
      </c>
      <c r="F1004" t="s">
        <v>925</v>
      </c>
    </row>
    <row r="1005" spans="1:6" x14ac:dyDescent="0.25">
      <c r="A1005" t="s">
        <v>1295</v>
      </c>
      <c r="B1005">
        <v>1.262508</v>
      </c>
      <c r="C1005">
        <v>-107.883</v>
      </c>
      <c r="D1005">
        <v>-107.883</v>
      </c>
      <c r="E1005">
        <v>0.64830900000000002</v>
      </c>
      <c r="F1005" t="s">
        <v>194</v>
      </c>
    </row>
    <row r="1006" spans="1:6" x14ac:dyDescent="0.25">
      <c r="A1006" t="s">
        <v>1296</v>
      </c>
      <c r="B1006">
        <v>1.198016</v>
      </c>
      <c r="C1006">
        <v>-107.88200000000001</v>
      </c>
      <c r="D1006">
        <v>-131.28</v>
      </c>
      <c r="E1006">
        <v>0.61201499999999998</v>
      </c>
      <c r="F1006" t="s">
        <v>211</v>
      </c>
    </row>
    <row r="1007" spans="1:6" x14ac:dyDescent="0.25">
      <c r="A1007" t="s">
        <v>1297</v>
      </c>
      <c r="B1007">
        <v>1.267279</v>
      </c>
      <c r="C1007">
        <v>-107.875</v>
      </c>
      <c r="D1007">
        <v>-131.18199999999999</v>
      </c>
      <c r="E1007">
        <v>0.65213399999999999</v>
      </c>
      <c r="F1007" t="s">
        <v>26</v>
      </c>
    </row>
    <row r="1008" spans="1:6" x14ac:dyDescent="0.25">
      <c r="A1008" t="s">
        <v>1298</v>
      </c>
      <c r="B1008">
        <v>1.2617119999999999</v>
      </c>
      <c r="C1008">
        <v>-107.874</v>
      </c>
      <c r="D1008">
        <v>-135.017</v>
      </c>
      <c r="E1008">
        <v>0.64585599999999999</v>
      </c>
      <c r="F1008" t="s">
        <v>755</v>
      </c>
    </row>
    <row r="1009" spans="1:6" x14ac:dyDescent="0.25">
      <c r="A1009" t="s">
        <v>1299</v>
      </c>
      <c r="B1009">
        <v>1.226548</v>
      </c>
      <c r="C1009">
        <v>-107.871</v>
      </c>
      <c r="D1009">
        <v>-107.871</v>
      </c>
      <c r="E1009">
        <v>0.62935300000000005</v>
      </c>
      <c r="F1009" t="s">
        <v>24</v>
      </c>
    </row>
    <row r="1010" spans="1:6" x14ac:dyDescent="0.25">
      <c r="A1010" t="s">
        <v>1300</v>
      </c>
      <c r="B1010">
        <v>1.2533259999999999</v>
      </c>
      <c r="C1010">
        <v>-107.86799999999999</v>
      </c>
      <c r="D1010">
        <v>-133.06700000000001</v>
      </c>
      <c r="E1010">
        <v>0.64416399999999996</v>
      </c>
      <c r="F1010" t="s">
        <v>22</v>
      </c>
    </row>
    <row r="1011" spans="1:6" x14ac:dyDescent="0.25">
      <c r="A1011" t="s">
        <v>1301</v>
      </c>
      <c r="B1011">
        <v>1.2725709999999999</v>
      </c>
      <c r="C1011">
        <v>-107.85899999999999</v>
      </c>
      <c r="D1011">
        <v>-107.85899999999999</v>
      </c>
      <c r="E1011">
        <v>0.65306600000000004</v>
      </c>
      <c r="F1011" t="s">
        <v>8</v>
      </c>
    </row>
    <row r="1012" spans="1:6" x14ac:dyDescent="0.25">
      <c r="A1012" t="s">
        <v>1302</v>
      </c>
      <c r="B1012">
        <v>1.250669</v>
      </c>
      <c r="C1012">
        <v>-107.854</v>
      </c>
      <c r="D1012">
        <v>-131.32300000000001</v>
      </c>
      <c r="E1012">
        <v>0.64219199999999999</v>
      </c>
      <c r="F1012" t="s">
        <v>8</v>
      </c>
    </row>
    <row r="1013" spans="1:6" x14ac:dyDescent="0.25">
      <c r="A1013" t="s">
        <v>1303</v>
      </c>
      <c r="B1013">
        <v>1.2472859999999999</v>
      </c>
      <c r="C1013">
        <v>-107.85299999999999</v>
      </c>
      <c r="D1013">
        <v>-130.96799999999999</v>
      </c>
      <c r="E1013">
        <v>0.63910400000000001</v>
      </c>
      <c r="F1013" t="s">
        <v>13</v>
      </c>
    </row>
    <row r="1014" spans="1:6" x14ac:dyDescent="0.25">
      <c r="A1014" t="s">
        <v>1304</v>
      </c>
      <c r="B1014">
        <v>1.245714</v>
      </c>
      <c r="C1014">
        <v>-107.825</v>
      </c>
      <c r="D1014">
        <v>-133.58699999999999</v>
      </c>
      <c r="E1014">
        <v>0.63952500000000001</v>
      </c>
      <c r="F1014" t="s">
        <v>8</v>
      </c>
    </row>
    <row r="1015" spans="1:6" x14ac:dyDescent="0.25">
      <c r="A1015" t="s">
        <v>1305</v>
      </c>
      <c r="B1015">
        <v>1.247514</v>
      </c>
      <c r="C1015">
        <v>-107.821</v>
      </c>
      <c r="D1015">
        <v>-132.29400000000001</v>
      </c>
      <c r="E1015">
        <v>0.63605</v>
      </c>
      <c r="F1015" t="s">
        <v>13</v>
      </c>
    </row>
    <row r="1016" spans="1:6" x14ac:dyDescent="0.25">
      <c r="A1016" t="s">
        <v>1306</v>
      </c>
      <c r="B1016">
        <v>1.205281</v>
      </c>
      <c r="C1016">
        <v>-107.816</v>
      </c>
      <c r="D1016">
        <v>-107.816</v>
      </c>
      <c r="E1016">
        <v>0.621112</v>
      </c>
      <c r="F1016" t="s">
        <v>69</v>
      </c>
    </row>
    <row r="1017" spans="1:6" x14ac:dyDescent="0.25">
      <c r="A1017" t="s">
        <v>1307</v>
      </c>
      <c r="B1017">
        <v>1.2370049999999999</v>
      </c>
      <c r="C1017">
        <v>-107.815</v>
      </c>
      <c r="D1017">
        <v>-132.34700000000001</v>
      </c>
      <c r="E1017">
        <v>0.63563999999999998</v>
      </c>
      <c r="F1017" t="s">
        <v>49</v>
      </c>
    </row>
    <row r="1018" spans="1:6" x14ac:dyDescent="0.25">
      <c r="A1018" t="s">
        <v>1308</v>
      </c>
      <c r="B1018">
        <v>1.30219</v>
      </c>
      <c r="C1018">
        <v>-107.807</v>
      </c>
      <c r="D1018">
        <v>-130.96199999999999</v>
      </c>
      <c r="E1018">
        <v>0.67110700000000001</v>
      </c>
      <c r="F1018" t="s">
        <v>26</v>
      </c>
    </row>
    <row r="1019" spans="1:6" x14ac:dyDescent="0.25">
      <c r="A1019" t="s">
        <v>1309</v>
      </c>
      <c r="B1019" t="s">
        <v>1310</v>
      </c>
      <c r="C1019">
        <f>-107.799 -111.629</f>
        <v>-219.428</v>
      </c>
      <c r="D1019">
        <f>-130.804 -111.629</f>
        <v>-242.43299999999999</v>
      </c>
      <c r="E1019" t="s">
        <v>1311</v>
      </c>
      <c r="F1019" t="s">
        <v>87</v>
      </c>
    </row>
    <row r="1020" spans="1:6" x14ac:dyDescent="0.25">
      <c r="A1020" t="s">
        <v>1312</v>
      </c>
      <c r="B1020">
        <v>1.1898949999999999</v>
      </c>
      <c r="C1020">
        <v>-107.798</v>
      </c>
      <c r="D1020">
        <v>-132.27600000000001</v>
      </c>
      <c r="E1020">
        <v>0.60960899999999996</v>
      </c>
      <c r="F1020" t="s">
        <v>24</v>
      </c>
    </row>
    <row r="1021" spans="1:6" x14ac:dyDescent="0.25">
      <c r="A1021" t="s">
        <v>1313</v>
      </c>
      <c r="B1021">
        <v>1.2426470000000001</v>
      </c>
      <c r="C1021">
        <v>-107.797</v>
      </c>
      <c r="D1021">
        <v>-133.23400000000001</v>
      </c>
      <c r="E1021">
        <v>0.63960399999999995</v>
      </c>
      <c r="F1021" t="s">
        <v>144</v>
      </c>
    </row>
    <row r="1022" spans="1:6" x14ac:dyDescent="0.25">
      <c r="A1022" t="s">
        <v>1314</v>
      </c>
      <c r="B1022">
        <v>1.262907</v>
      </c>
      <c r="C1022">
        <v>-107.794</v>
      </c>
      <c r="D1022">
        <v>-131.56399999999999</v>
      </c>
      <c r="E1022">
        <v>0.64572700000000005</v>
      </c>
      <c r="F1022" t="s">
        <v>13</v>
      </c>
    </row>
    <row r="1023" spans="1:6" x14ac:dyDescent="0.25">
      <c r="A1023" t="s">
        <v>1315</v>
      </c>
      <c r="B1023">
        <v>1.234453</v>
      </c>
      <c r="C1023">
        <v>-107.785</v>
      </c>
      <c r="D1023">
        <v>-107.785</v>
      </c>
      <c r="E1023">
        <v>0.63394300000000003</v>
      </c>
      <c r="F1023" t="s">
        <v>8</v>
      </c>
    </row>
    <row r="1024" spans="1:6" x14ac:dyDescent="0.25">
      <c r="A1024" t="s">
        <v>1316</v>
      </c>
      <c r="B1024">
        <v>1.254451</v>
      </c>
      <c r="C1024">
        <v>-107.779</v>
      </c>
      <c r="D1024">
        <v>-131.97</v>
      </c>
      <c r="E1024">
        <v>0.64344100000000004</v>
      </c>
      <c r="F1024" t="s">
        <v>24</v>
      </c>
    </row>
    <row r="1025" spans="1:6" x14ac:dyDescent="0.25">
      <c r="A1025" t="s">
        <v>1317</v>
      </c>
      <c r="B1025">
        <v>1.221365</v>
      </c>
      <c r="C1025">
        <v>-107.77200000000001</v>
      </c>
      <c r="D1025">
        <v>-131.26599999999999</v>
      </c>
      <c r="E1025">
        <v>0.62771999999999994</v>
      </c>
      <c r="F1025" t="s">
        <v>16</v>
      </c>
    </row>
    <row r="1026" spans="1:6" x14ac:dyDescent="0.25">
      <c r="A1026" t="s">
        <v>1318</v>
      </c>
      <c r="B1026">
        <v>1.2484580000000001</v>
      </c>
      <c r="C1026">
        <v>-107.77</v>
      </c>
      <c r="D1026">
        <v>-131.38499999999999</v>
      </c>
      <c r="E1026">
        <v>0.63927199999999995</v>
      </c>
      <c r="F1026" t="s">
        <v>26</v>
      </c>
    </row>
    <row r="1027" spans="1:6" x14ac:dyDescent="0.25">
      <c r="A1027" t="s">
        <v>1319</v>
      </c>
      <c r="B1027">
        <v>1.2808930000000001</v>
      </c>
      <c r="C1027">
        <v>-107.765</v>
      </c>
      <c r="D1027">
        <v>-107.765</v>
      </c>
      <c r="E1027">
        <v>0.65648200000000001</v>
      </c>
      <c r="F1027" t="s">
        <v>57</v>
      </c>
    </row>
    <row r="1028" spans="1:6" x14ac:dyDescent="0.25">
      <c r="A1028" t="s">
        <v>1320</v>
      </c>
      <c r="B1028">
        <v>1.2735369999999999</v>
      </c>
      <c r="C1028">
        <v>-107.749</v>
      </c>
      <c r="D1028">
        <v>-131.44</v>
      </c>
      <c r="E1028">
        <v>0.65364999999999995</v>
      </c>
      <c r="F1028" t="s">
        <v>13</v>
      </c>
    </row>
    <row r="1029" spans="1:6" x14ac:dyDescent="0.25">
      <c r="A1029" t="s">
        <v>1321</v>
      </c>
      <c r="B1029">
        <v>1.2725979999999999</v>
      </c>
      <c r="C1029">
        <v>-107.742</v>
      </c>
      <c r="D1029">
        <v>-132.03299999999999</v>
      </c>
      <c r="E1029">
        <v>0.65283899999999995</v>
      </c>
      <c r="F1029" t="s">
        <v>16</v>
      </c>
    </row>
    <row r="1030" spans="1:6" x14ac:dyDescent="0.25">
      <c r="A1030" t="s">
        <v>1322</v>
      </c>
      <c r="B1030">
        <v>1.254046</v>
      </c>
      <c r="C1030">
        <v>-107.74</v>
      </c>
      <c r="D1030">
        <v>-107.74</v>
      </c>
      <c r="E1030">
        <v>0.64480000000000004</v>
      </c>
      <c r="F1030" t="s">
        <v>24</v>
      </c>
    </row>
    <row r="1031" spans="1:6" x14ac:dyDescent="0.25">
      <c r="A1031" t="s">
        <v>1323</v>
      </c>
      <c r="B1031">
        <v>1.250229</v>
      </c>
      <c r="C1031">
        <v>-107.724</v>
      </c>
      <c r="D1031">
        <v>-133.54900000000001</v>
      </c>
      <c r="E1031">
        <v>0.64266299999999998</v>
      </c>
      <c r="F1031" t="s">
        <v>49</v>
      </c>
    </row>
    <row r="1032" spans="1:6" x14ac:dyDescent="0.25">
      <c r="A1032" t="s">
        <v>1324</v>
      </c>
      <c r="B1032">
        <v>1.2560480000000001</v>
      </c>
      <c r="C1032">
        <v>-107.708</v>
      </c>
      <c r="D1032">
        <v>-134.501</v>
      </c>
      <c r="E1032">
        <v>0.64149400000000001</v>
      </c>
      <c r="F1032" t="s">
        <v>140</v>
      </c>
    </row>
    <row r="1033" spans="1:6" x14ac:dyDescent="0.25">
      <c r="A1033" t="s">
        <v>1325</v>
      </c>
      <c r="B1033">
        <v>1.254572</v>
      </c>
      <c r="C1033">
        <v>-107.703</v>
      </c>
      <c r="D1033">
        <v>-133.21799999999999</v>
      </c>
      <c r="E1033">
        <v>0.64767399999999997</v>
      </c>
      <c r="F1033" t="s">
        <v>69</v>
      </c>
    </row>
    <row r="1034" spans="1:6" x14ac:dyDescent="0.25">
      <c r="A1034" t="s">
        <v>1326</v>
      </c>
      <c r="B1034">
        <v>1.2170559999999999</v>
      </c>
      <c r="C1034">
        <v>-107.69799999999999</v>
      </c>
      <c r="D1034">
        <v>-131.011</v>
      </c>
      <c r="E1034">
        <v>0.62560499999999997</v>
      </c>
      <c r="F1034" t="s">
        <v>19</v>
      </c>
    </row>
    <row r="1035" spans="1:6" x14ac:dyDescent="0.25">
      <c r="A1035" t="s">
        <v>1327</v>
      </c>
      <c r="B1035">
        <v>1.2335100000000001</v>
      </c>
      <c r="C1035">
        <v>-107.68899999999999</v>
      </c>
      <c r="D1035">
        <v>-131.69399999999999</v>
      </c>
      <c r="E1035">
        <v>0.63213900000000001</v>
      </c>
      <c r="F1035" t="s">
        <v>201</v>
      </c>
    </row>
    <row r="1036" spans="1:6" x14ac:dyDescent="0.25">
      <c r="A1036" t="s">
        <v>1328</v>
      </c>
      <c r="B1036">
        <v>1.224119</v>
      </c>
      <c r="C1036">
        <v>-107.688</v>
      </c>
      <c r="D1036">
        <v>-130.99299999999999</v>
      </c>
      <c r="E1036">
        <v>0.62762099999999998</v>
      </c>
      <c r="F1036" t="s">
        <v>57</v>
      </c>
    </row>
    <row r="1037" spans="1:6" x14ac:dyDescent="0.25">
      <c r="A1037" t="s">
        <v>1329</v>
      </c>
      <c r="B1037">
        <v>1.260413</v>
      </c>
      <c r="C1037">
        <v>-107.65900000000001</v>
      </c>
      <c r="D1037">
        <v>-107.65900000000001</v>
      </c>
      <c r="E1037">
        <v>0.64530900000000002</v>
      </c>
      <c r="F1037" t="s">
        <v>24</v>
      </c>
    </row>
    <row r="1038" spans="1:6" x14ac:dyDescent="0.25">
      <c r="A1038" t="s">
        <v>1330</v>
      </c>
      <c r="B1038">
        <v>1.229768</v>
      </c>
      <c r="C1038">
        <v>-107.657</v>
      </c>
      <c r="D1038">
        <v>-130.34299999999999</v>
      </c>
      <c r="E1038">
        <v>0.63324199999999997</v>
      </c>
      <c r="F1038" t="s">
        <v>49</v>
      </c>
    </row>
    <row r="1039" spans="1:6" x14ac:dyDescent="0.25">
      <c r="A1039" t="s">
        <v>1331</v>
      </c>
      <c r="B1039">
        <v>1.2705789999999999</v>
      </c>
      <c r="C1039">
        <v>-107.649</v>
      </c>
      <c r="D1039">
        <v>-132.589</v>
      </c>
      <c r="E1039">
        <v>0.65163099999999996</v>
      </c>
      <c r="F1039" t="s">
        <v>11</v>
      </c>
    </row>
    <row r="1040" spans="1:6" x14ac:dyDescent="0.25">
      <c r="A1040" t="s">
        <v>1332</v>
      </c>
      <c r="B1040">
        <v>1.1814880000000001</v>
      </c>
      <c r="C1040">
        <v>-107.648</v>
      </c>
      <c r="D1040">
        <v>-132.416</v>
      </c>
      <c r="E1040">
        <v>0.60689400000000004</v>
      </c>
      <c r="F1040" t="s">
        <v>22</v>
      </c>
    </row>
    <row r="1041" spans="1:6" x14ac:dyDescent="0.25">
      <c r="A1041" t="s">
        <v>1333</v>
      </c>
      <c r="B1041">
        <v>1.2711479999999999</v>
      </c>
      <c r="C1041">
        <v>-107.63200000000001</v>
      </c>
      <c r="D1041">
        <v>-131.47999999999999</v>
      </c>
      <c r="E1041">
        <v>0.65416200000000002</v>
      </c>
      <c r="F1041" t="s">
        <v>26</v>
      </c>
    </row>
    <row r="1042" spans="1:6" x14ac:dyDescent="0.25">
      <c r="A1042" t="s">
        <v>1334</v>
      </c>
      <c r="B1042">
        <v>1.2267570000000001</v>
      </c>
      <c r="C1042">
        <v>-107.625</v>
      </c>
      <c r="D1042">
        <v>-107.625</v>
      </c>
      <c r="E1042">
        <v>0.62848599999999999</v>
      </c>
      <c r="F1042" t="s">
        <v>201</v>
      </c>
    </row>
    <row r="1043" spans="1:6" x14ac:dyDescent="0.25">
      <c r="A1043" t="s">
        <v>1335</v>
      </c>
      <c r="B1043">
        <v>1.2437640000000001</v>
      </c>
      <c r="C1043">
        <v>-107.622</v>
      </c>
      <c r="D1043">
        <v>-130.86199999999999</v>
      </c>
      <c r="E1043">
        <v>0.63698399999999999</v>
      </c>
      <c r="F1043" t="s">
        <v>13</v>
      </c>
    </row>
    <row r="1044" spans="1:6" x14ac:dyDescent="0.25">
      <c r="A1044" t="s">
        <v>1336</v>
      </c>
      <c r="B1044">
        <v>1.2853019999999999</v>
      </c>
      <c r="C1044">
        <v>-107.605</v>
      </c>
      <c r="D1044">
        <v>-107.605</v>
      </c>
      <c r="E1044">
        <v>0.66185499999999997</v>
      </c>
      <c r="F1044" t="s">
        <v>19</v>
      </c>
    </row>
    <row r="1045" spans="1:6" x14ac:dyDescent="0.25">
      <c r="A1045" t="s">
        <v>1337</v>
      </c>
      <c r="B1045">
        <v>1.280724</v>
      </c>
      <c r="C1045">
        <v>-107.605</v>
      </c>
      <c r="D1045">
        <v>-131.05199999999999</v>
      </c>
      <c r="E1045">
        <v>0.65563800000000005</v>
      </c>
      <c r="F1045" t="s">
        <v>13</v>
      </c>
    </row>
    <row r="1046" spans="1:6" x14ac:dyDescent="0.25">
      <c r="A1046" t="s">
        <v>1338</v>
      </c>
      <c r="B1046">
        <v>1.2222</v>
      </c>
      <c r="C1046">
        <v>-107.601</v>
      </c>
      <c r="D1046">
        <v>-133.922</v>
      </c>
      <c r="E1046">
        <v>0.62625799999999998</v>
      </c>
      <c r="F1046" t="s">
        <v>57</v>
      </c>
    </row>
    <row r="1047" spans="1:6" x14ac:dyDescent="0.25">
      <c r="A1047" t="s">
        <v>1339</v>
      </c>
      <c r="B1047">
        <v>1.2159770000000001</v>
      </c>
      <c r="C1047">
        <v>-107.59</v>
      </c>
      <c r="D1047">
        <v>-130.98599999999999</v>
      </c>
      <c r="E1047">
        <v>0.62226199999999998</v>
      </c>
      <c r="F1047" t="s">
        <v>13</v>
      </c>
    </row>
    <row r="1048" spans="1:6" x14ac:dyDescent="0.25">
      <c r="A1048" t="s">
        <v>1340</v>
      </c>
      <c r="B1048">
        <v>1.202952</v>
      </c>
      <c r="C1048">
        <v>-107.589</v>
      </c>
      <c r="D1048">
        <v>-132.32</v>
      </c>
      <c r="E1048">
        <v>0.61849100000000001</v>
      </c>
      <c r="F1048" t="s">
        <v>19</v>
      </c>
    </row>
    <row r="1049" spans="1:6" x14ac:dyDescent="0.25">
      <c r="A1049" t="s">
        <v>1341</v>
      </c>
      <c r="B1049">
        <v>1.264251</v>
      </c>
      <c r="C1049">
        <v>-107.589</v>
      </c>
      <c r="D1049">
        <v>-131.91999999999999</v>
      </c>
      <c r="E1049">
        <v>0.64265499999999998</v>
      </c>
      <c r="F1049" t="s">
        <v>26</v>
      </c>
    </row>
    <row r="1050" spans="1:6" x14ac:dyDescent="0.25">
      <c r="A1050" t="s">
        <v>1342</v>
      </c>
      <c r="B1050">
        <v>1.2366330000000001</v>
      </c>
      <c r="C1050">
        <v>-107.587</v>
      </c>
      <c r="D1050">
        <v>-132.50200000000001</v>
      </c>
      <c r="E1050">
        <v>0.63416300000000003</v>
      </c>
      <c r="F1050" t="s">
        <v>13</v>
      </c>
    </row>
    <row r="1051" spans="1:6" x14ac:dyDescent="0.25">
      <c r="A1051" t="s">
        <v>1343</v>
      </c>
      <c r="B1051">
        <v>1.2492730000000001</v>
      </c>
      <c r="C1051">
        <v>-107.58199999999999</v>
      </c>
      <c r="D1051">
        <v>-107.58199999999999</v>
      </c>
      <c r="E1051">
        <v>0.64347100000000002</v>
      </c>
      <c r="F1051" t="s">
        <v>24</v>
      </c>
    </row>
    <row r="1052" spans="1:6" x14ac:dyDescent="0.25">
      <c r="A1052" t="s">
        <v>1344</v>
      </c>
      <c r="B1052">
        <v>1.2674840000000001</v>
      </c>
      <c r="C1052">
        <v>-107.578</v>
      </c>
      <c r="D1052">
        <v>-131.59399999999999</v>
      </c>
      <c r="E1052">
        <v>0.64832599999999996</v>
      </c>
      <c r="F1052" t="s">
        <v>26</v>
      </c>
    </row>
    <row r="1053" spans="1:6" x14ac:dyDescent="0.25">
      <c r="A1053" t="s">
        <v>1345</v>
      </c>
      <c r="B1053">
        <v>1.2421519999999999</v>
      </c>
      <c r="C1053">
        <v>-107.578</v>
      </c>
      <c r="D1053">
        <v>-132.458</v>
      </c>
      <c r="E1053">
        <v>0.64013699999999996</v>
      </c>
      <c r="F1053" t="s">
        <v>19</v>
      </c>
    </row>
    <row r="1054" spans="1:6" x14ac:dyDescent="0.25">
      <c r="A1054" t="s">
        <v>1346</v>
      </c>
      <c r="B1054">
        <v>1.2542489999999999</v>
      </c>
      <c r="C1054">
        <v>-107.565</v>
      </c>
      <c r="D1054">
        <v>-131.852</v>
      </c>
      <c r="E1054">
        <v>0.64361900000000005</v>
      </c>
      <c r="F1054" t="s">
        <v>19</v>
      </c>
    </row>
    <row r="1055" spans="1:6" x14ac:dyDescent="0.25">
      <c r="A1055" t="s">
        <v>1347</v>
      </c>
      <c r="B1055">
        <v>1.2288950000000001</v>
      </c>
      <c r="C1055">
        <v>-107.565</v>
      </c>
      <c r="D1055">
        <v>-132.59200000000001</v>
      </c>
      <c r="E1055">
        <v>0.63152399999999997</v>
      </c>
      <c r="F1055" t="s">
        <v>11</v>
      </c>
    </row>
    <row r="1056" spans="1:6" x14ac:dyDescent="0.25">
      <c r="A1056" t="s">
        <v>1348</v>
      </c>
      <c r="B1056">
        <v>1.2603390000000001</v>
      </c>
      <c r="C1056">
        <v>-107.55800000000001</v>
      </c>
      <c r="D1056">
        <v>-132.703</v>
      </c>
      <c r="E1056">
        <v>0.64723600000000003</v>
      </c>
      <c r="F1056" t="s">
        <v>405</v>
      </c>
    </row>
    <row r="1057" spans="1:6" x14ac:dyDescent="0.25">
      <c r="A1057" t="s">
        <v>1349</v>
      </c>
      <c r="B1057">
        <v>1.2459800000000001</v>
      </c>
      <c r="C1057">
        <v>-107.557</v>
      </c>
      <c r="D1057">
        <v>-132.54499999999999</v>
      </c>
      <c r="E1057">
        <v>0.63854500000000003</v>
      </c>
      <c r="F1057" t="s">
        <v>211</v>
      </c>
    </row>
    <row r="1058" spans="1:6" x14ac:dyDescent="0.25">
      <c r="A1058" t="s">
        <v>1350</v>
      </c>
      <c r="B1058">
        <v>1.212664</v>
      </c>
      <c r="C1058">
        <v>-107.548</v>
      </c>
      <c r="D1058">
        <v>-133.202</v>
      </c>
      <c r="E1058">
        <v>0.62279700000000005</v>
      </c>
      <c r="F1058" t="s">
        <v>8</v>
      </c>
    </row>
    <row r="1059" spans="1:6" x14ac:dyDescent="0.25">
      <c r="A1059" t="s">
        <v>1351</v>
      </c>
      <c r="B1059">
        <v>1.28054</v>
      </c>
      <c r="C1059">
        <v>-107.542</v>
      </c>
      <c r="D1059">
        <v>-107.542</v>
      </c>
      <c r="E1059">
        <v>0.65686</v>
      </c>
      <c r="F1059" t="s">
        <v>16</v>
      </c>
    </row>
    <row r="1060" spans="1:6" x14ac:dyDescent="0.25">
      <c r="A1060" t="s">
        <v>1352</v>
      </c>
      <c r="B1060">
        <v>1.2618039999999999</v>
      </c>
      <c r="C1060">
        <v>-107.539</v>
      </c>
      <c r="D1060">
        <v>-132.19200000000001</v>
      </c>
      <c r="E1060">
        <v>0.64551499999999995</v>
      </c>
      <c r="F1060" t="s">
        <v>24</v>
      </c>
    </row>
    <row r="1061" spans="1:6" x14ac:dyDescent="0.25">
      <c r="A1061" t="s">
        <v>1353</v>
      </c>
      <c r="B1061">
        <v>1.2348319999999999</v>
      </c>
      <c r="C1061">
        <v>-107.538</v>
      </c>
      <c r="D1061">
        <v>-139.57</v>
      </c>
      <c r="E1061">
        <v>0.63039800000000001</v>
      </c>
      <c r="F1061" t="s">
        <v>49</v>
      </c>
    </row>
    <row r="1062" spans="1:6" x14ac:dyDescent="0.25">
      <c r="A1062" t="s">
        <v>1354</v>
      </c>
      <c r="B1062" t="s">
        <v>1355</v>
      </c>
      <c r="C1062">
        <f>-107.533 -123.907</f>
        <v>-231.44</v>
      </c>
      <c r="D1062">
        <f>-130.238 -145.668</f>
        <v>-275.90600000000001</v>
      </c>
      <c r="E1062" t="s">
        <v>1356</v>
      </c>
      <c r="F1062" t="s">
        <v>53</v>
      </c>
    </row>
    <row r="1063" spans="1:6" x14ac:dyDescent="0.25">
      <c r="A1063" t="s">
        <v>1357</v>
      </c>
      <c r="B1063">
        <v>1.2433799999999999</v>
      </c>
      <c r="C1063">
        <v>-107.521</v>
      </c>
      <c r="D1063">
        <v>-129.40799999999999</v>
      </c>
      <c r="E1063">
        <v>0.63514199999999998</v>
      </c>
      <c r="F1063" t="s">
        <v>26</v>
      </c>
    </row>
    <row r="1064" spans="1:6" x14ac:dyDescent="0.25">
      <c r="A1064" t="s">
        <v>1358</v>
      </c>
      <c r="B1064">
        <v>1.2341759999999999</v>
      </c>
      <c r="C1064">
        <v>-107.511</v>
      </c>
      <c r="D1064">
        <v>-131.554</v>
      </c>
      <c r="E1064">
        <v>0.63136400000000004</v>
      </c>
      <c r="F1064" t="s">
        <v>22</v>
      </c>
    </row>
    <row r="1065" spans="1:6" x14ac:dyDescent="0.25">
      <c r="A1065" t="s">
        <v>1359</v>
      </c>
      <c r="B1065">
        <v>1.262275</v>
      </c>
      <c r="C1065">
        <v>-107.502</v>
      </c>
      <c r="D1065">
        <v>-131.63800000000001</v>
      </c>
      <c r="E1065">
        <v>0.65011699999999994</v>
      </c>
      <c r="F1065" t="s">
        <v>24</v>
      </c>
    </row>
    <row r="1066" spans="1:6" x14ac:dyDescent="0.25">
      <c r="A1066" t="s">
        <v>1360</v>
      </c>
      <c r="B1066">
        <v>1.250353</v>
      </c>
      <c r="C1066">
        <v>-107.499</v>
      </c>
      <c r="D1066">
        <v>-131.14099999999999</v>
      </c>
      <c r="E1066">
        <v>0.64186699999999997</v>
      </c>
      <c r="F1066" t="s">
        <v>13</v>
      </c>
    </row>
    <row r="1067" spans="1:6" x14ac:dyDescent="0.25">
      <c r="A1067" t="s">
        <v>1361</v>
      </c>
      <c r="B1067">
        <v>1.23689</v>
      </c>
      <c r="C1067">
        <v>-107.497</v>
      </c>
      <c r="D1067">
        <v>-107.497</v>
      </c>
      <c r="E1067">
        <v>0.63610999999999995</v>
      </c>
      <c r="F1067" t="s">
        <v>16</v>
      </c>
    </row>
    <row r="1068" spans="1:6" x14ac:dyDescent="0.25">
      <c r="A1068" t="s">
        <v>1362</v>
      </c>
      <c r="B1068">
        <v>1.256035</v>
      </c>
      <c r="C1068">
        <v>-107.491</v>
      </c>
      <c r="D1068">
        <v>-134.88499999999999</v>
      </c>
      <c r="E1068">
        <v>0.64206300000000005</v>
      </c>
      <c r="F1068" t="s">
        <v>8</v>
      </c>
    </row>
    <row r="1069" spans="1:6" x14ac:dyDescent="0.25">
      <c r="A1069" t="s">
        <v>1363</v>
      </c>
      <c r="B1069">
        <v>1.2190799999999999</v>
      </c>
      <c r="C1069">
        <v>-107.48699999999999</v>
      </c>
      <c r="D1069">
        <v>-107.48699999999999</v>
      </c>
      <c r="E1069">
        <v>0.625691</v>
      </c>
      <c r="F1069" t="s">
        <v>13</v>
      </c>
    </row>
    <row r="1070" spans="1:6" x14ac:dyDescent="0.25">
      <c r="A1070" t="s">
        <v>1364</v>
      </c>
      <c r="B1070">
        <v>1.223684</v>
      </c>
      <c r="C1070">
        <v>-107.483</v>
      </c>
      <c r="D1070">
        <v>-136.73099999999999</v>
      </c>
      <c r="E1070">
        <v>0.62942100000000001</v>
      </c>
      <c r="F1070" t="s">
        <v>49</v>
      </c>
    </row>
    <row r="1071" spans="1:6" x14ac:dyDescent="0.25">
      <c r="A1071" t="s">
        <v>1365</v>
      </c>
      <c r="B1071">
        <v>1.2670809999999999</v>
      </c>
      <c r="C1071">
        <v>-107.473</v>
      </c>
      <c r="D1071">
        <v>-131.06100000000001</v>
      </c>
      <c r="E1071">
        <v>0.65046599999999999</v>
      </c>
      <c r="F1071" t="s">
        <v>8</v>
      </c>
    </row>
    <row r="1072" spans="1:6" x14ac:dyDescent="0.25">
      <c r="A1072" t="s">
        <v>1366</v>
      </c>
      <c r="B1072">
        <v>1.235009</v>
      </c>
      <c r="C1072">
        <v>-107.473</v>
      </c>
      <c r="D1072">
        <v>-133.62299999999999</v>
      </c>
      <c r="E1072">
        <v>0.63394099999999998</v>
      </c>
      <c r="F1072" t="s">
        <v>925</v>
      </c>
    </row>
    <row r="1073" spans="1:6" x14ac:dyDescent="0.25">
      <c r="A1073" t="s">
        <v>1367</v>
      </c>
      <c r="B1073">
        <v>1.222647</v>
      </c>
      <c r="C1073">
        <v>-107.471</v>
      </c>
      <c r="D1073">
        <v>-131.22200000000001</v>
      </c>
      <c r="E1073">
        <v>0.62762300000000004</v>
      </c>
      <c r="F1073" t="s">
        <v>57</v>
      </c>
    </row>
    <row r="1074" spans="1:6" x14ac:dyDescent="0.25">
      <c r="A1074" t="s">
        <v>1368</v>
      </c>
      <c r="B1074">
        <v>1.2472859999999999</v>
      </c>
      <c r="C1074">
        <v>-107.46</v>
      </c>
      <c r="D1074">
        <v>-107.46</v>
      </c>
      <c r="E1074">
        <v>0.64034000000000002</v>
      </c>
      <c r="F1074" t="s">
        <v>8</v>
      </c>
    </row>
    <row r="1075" spans="1:6" x14ac:dyDescent="0.25">
      <c r="A1075" t="s">
        <v>1369</v>
      </c>
      <c r="B1075">
        <v>1.2337359999999999</v>
      </c>
      <c r="C1075">
        <v>-107.45699999999999</v>
      </c>
      <c r="D1075">
        <v>-131.245</v>
      </c>
      <c r="E1075">
        <v>0.63369600000000004</v>
      </c>
      <c r="F1075" t="s">
        <v>19</v>
      </c>
    </row>
    <row r="1076" spans="1:6" x14ac:dyDescent="0.25">
      <c r="A1076" t="s">
        <v>1370</v>
      </c>
      <c r="B1076">
        <v>1.252678</v>
      </c>
      <c r="C1076">
        <v>-107.455</v>
      </c>
      <c r="D1076">
        <v>-132.477</v>
      </c>
      <c r="E1076">
        <v>0.64360399999999995</v>
      </c>
      <c r="F1076" t="s">
        <v>8</v>
      </c>
    </row>
    <row r="1077" spans="1:6" x14ac:dyDescent="0.25">
      <c r="A1077" t="s">
        <v>1371</v>
      </c>
      <c r="B1077">
        <v>1.2600439999999999</v>
      </c>
      <c r="C1077">
        <v>-107.453</v>
      </c>
      <c r="D1077">
        <v>-132.666</v>
      </c>
      <c r="E1077">
        <v>0.64602099999999996</v>
      </c>
      <c r="F1077" t="s">
        <v>13</v>
      </c>
    </row>
    <row r="1078" spans="1:6" x14ac:dyDescent="0.25">
      <c r="A1078" t="s">
        <v>1372</v>
      </c>
      <c r="B1078">
        <v>1.2160500000000001</v>
      </c>
      <c r="C1078">
        <v>-107.453</v>
      </c>
      <c r="D1078">
        <v>-130.97300000000001</v>
      </c>
      <c r="E1078">
        <v>0.62565899999999997</v>
      </c>
      <c r="F1078" t="s">
        <v>194</v>
      </c>
    </row>
    <row r="1079" spans="1:6" x14ac:dyDescent="0.25">
      <c r="A1079" t="s">
        <v>1373</v>
      </c>
      <c r="B1079">
        <v>1.286424</v>
      </c>
      <c r="C1079">
        <v>-107.446</v>
      </c>
      <c r="D1079">
        <v>-130.90700000000001</v>
      </c>
      <c r="E1079">
        <v>0.66022800000000004</v>
      </c>
      <c r="F1079" t="s">
        <v>24</v>
      </c>
    </row>
    <row r="1080" spans="1:6" x14ac:dyDescent="0.25">
      <c r="A1080" t="s">
        <v>1374</v>
      </c>
      <c r="B1080">
        <v>1.2331270000000001</v>
      </c>
      <c r="C1080">
        <v>-107.443</v>
      </c>
      <c r="D1080">
        <v>-131.12700000000001</v>
      </c>
      <c r="E1080">
        <v>0.632023</v>
      </c>
      <c r="F1080" t="s">
        <v>57</v>
      </c>
    </row>
    <row r="1081" spans="1:6" x14ac:dyDescent="0.25">
      <c r="A1081" t="s">
        <v>1375</v>
      </c>
      <c r="B1081" t="s">
        <v>1376</v>
      </c>
      <c r="C1081">
        <f>-107.441 -107.539</f>
        <v>-214.98000000000002</v>
      </c>
      <c r="D1081">
        <f>-133.282 -132.124</f>
        <v>-265.40600000000001</v>
      </c>
      <c r="E1081" t="s">
        <v>1377</v>
      </c>
      <c r="F1081" t="s">
        <v>77</v>
      </c>
    </row>
    <row r="1082" spans="1:6" x14ac:dyDescent="0.25">
      <c r="A1082" t="s">
        <v>1378</v>
      </c>
      <c r="B1082">
        <v>1.2613209999999999</v>
      </c>
      <c r="C1082">
        <v>-107.43899999999999</v>
      </c>
      <c r="D1082">
        <v>-131.65700000000001</v>
      </c>
      <c r="E1082">
        <v>0.64915500000000004</v>
      </c>
      <c r="F1082" t="s">
        <v>124</v>
      </c>
    </row>
    <row r="1083" spans="1:6" x14ac:dyDescent="0.25">
      <c r="A1083" t="s">
        <v>1379</v>
      </c>
      <c r="B1083" t="s">
        <v>1380</v>
      </c>
      <c r="C1083">
        <f>-107.434 -115.981</f>
        <v>-223.41499999999999</v>
      </c>
      <c r="D1083">
        <f>-107.434 -140.224</f>
        <v>-247.65799999999999</v>
      </c>
      <c r="E1083" t="s">
        <v>1381</v>
      </c>
      <c r="F1083" t="s">
        <v>31</v>
      </c>
    </row>
    <row r="1084" spans="1:6" x14ac:dyDescent="0.25">
      <c r="A1084" t="s">
        <v>1382</v>
      </c>
      <c r="B1084">
        <v>1.2645029999999999</v>
      </c>
      <c r="C1084">
        <v>-107.434</v>
      </c>
      <c r="D1084">
        <v>-133.80600000000001</v>
      </c>
      <c r="E1084">
        <v>0.64810699999999999</v>
      </c>
      <c r="F1084" t="s">
        <v>11</v>
      </c>
    </row>
    <row r="1085" spans="1:6" x14ac:dyDescent="0.25">
      <c r="A1085" t="s">
        <v>1383</v>
      </c>
      <c r="B1085">
        <v>1.235708</v>
      </c>
      <c r="C1085">
        <v>-107.43300000000001</v>
      </c>
      <c r="D1085">
        <v>-131.32499999999999</v>
      </c>
      <c r="E1085">
        <v>0.63492199999999999</v>
      </c>
      <c r="F1085" t="s">
        <v>26</v>
      </c>
    </row>
    <row r="1086" spans="1:6" x14ac:dyDescent="0.25">
      <c r="A1086" t="s">
        <v>1384</v>
      </c>
      <c r="B1086">
        <v>1.2737480000000001</v>
      </c>
      <c r="C1086">
        <v>-107.43</v>
      </c>
      <c r="D1086">
        <v>-129.80500000000001</v>
      </c>
      <c r="E1086">
        <v>0.65425100000000003</v>
      </c>
      <c r="F1086" t="s">
        <v>26</v>
      </c>
    </row>
    <row r="1087" spans="1:6" x14ac:dyDescent="0.25">
      <c r="A1087" t="s">
        <v>1385</v>
      </c>
      <c r="B1087">
        <v>1.259619</v>
      </c>
      <c r="C1087">
        <v>-107.43</v>
      </c>
      <c r="D1087">
        <v>-130.786</v>
      </c>
      <c r="E1087">
        <v>0.64700800000000003</v>
      </c>
      <c r="F1087" t="s">
        <v>11</v>
      </c>
    </row>
    <row r="1088" spans="1:6" x14ac:dyDescent="0.25">
      <c r="A1088" t="s">
        <v>1386</v>
      </c>
      <c r="B1088">
        <v>1.25918</v>
      </c>
      <c r="C1088">
        <v>-107.42100000000001</v>
      </c>
      <c r="D1088">
        <v>-133.745</v>
      </c>
      <c r="E1088">
        <v>0.645903</v>
      </c>
      <c r="F1088" t="s">
        <v>140</v>
      </c>
    </row>
    <row r="1089" spans="1:6" x14ac:dyDescent="0.25">
      <c r="A1089" t="s">
        <v>1387</v>
      </c>
      <c r="B1089">
        <v>1.2601070000000001</v>
      </c>
      <c r="C1089">
        <v>-107.41800000000001</v>
      </c>
      <c r="D1089">
        <v>-131.56700000000001</v>
      </c>
      <c r="E1089">
        <v>0.64941899999999997</v>
      </c>
      <c r="F1089" t="s">
        <v>22</v>
      </c>
    </row>
    <row r="1090" spans="1:6" x14ac:dyDescent="0.25">
      <c r="A1090" t="s">
        <v>1388</v>
      </c>
      <c r="B1090">
        <v>1.241703</v>
      </c>
      <c r="C1090">
        <v>-107.417</v>
      </c>
      <c r="D1090">
        <v>-133.935</v>
      </c>
      <c r="E1090">
        <v>0.63782799999999995</v>
      </c>
      <c r="F1090" t="s">
        <v>19</v>
      </c>
    </row>
    <row r="1091" spans="1:6" x14ac:dyDescent="0.25">
      <c r="A1091" t="s">
        <v>1389</v>
      </c>
      <c r="B1091">
        <v>1.2652650000000001</v>
      </c>
      <c r="C1091">
        <v>-107.41</v>
      </c>
      <c r="D1091">
        <v>-130.49799999999999</v>
      </c>
      <c r="E1091">
        <v>0.64829599999999998</v>
      </c>
      <c r="F1091" t="s">
        <v>22</v>
      </c>
    </row>
    <row r="1092" spans="1:6" x14ac:dyDescent="0.25">
      <c r="A1092" t="s">
        <v>1390</v>
      </c>
      <c r="B1092" t="s">
        <v>1391</v>
      </c>
      <c r="C1092">
        <f>-107.405 -114.85</f>
        <v>-222.255</v>
      </c>
      <c r="D1092">
        <f>-131.353 -137.003</f>
        <v>-268.35599999999999</v>
      </c>
      <c r="E1092" t="s">
        <v>1392</v>
      </c>
      <c r="F1092" t="s">
        <v>31</v>
      </c>
    </row>
    <row r="1093" spans="1:6" x14ac:dyDescent="0.25">
      <c r="A1093" t="s">
        <v>1393</v>
      </c>
      <c r="B1093">
        <v>1.185611</v>
      </c>
      <c r="C1093">
        <v>-107.405</v>
      </c>
      <c r="D1093">
        <v>-131.12799999999999</v>
      </c>
      <c r="E1093">
        <v>0.60794099999999995</v>
      </c>
      <c r="F1093" t="s">
        <v>194</v>
      </c>
    </row>
    <row r="1094" spans="1:6" x14ac:dyDescent="0.25">
      <c r="A1094" t="s">
        <v>1394</v>
      </c>
      <c r="B1094">
        <v>1.2857959999999999</v>
      </c>
      <c r="C1094">
        <v>-107.389</v>
      </c>
      <c r="D1094">
        <v>-132.44499999999999</v>
      </c>
      <c r="E1094">
        <v>0.659914</v>
      </c>
      <c r="F1094" t="s">
        <v>22</v>
      </c>
    </row>
    <row r="1095" spans="1:6" x14ac:dyDescent="0.25">
      <c r="A1095" t="s">
        <v>1395</v>
      </c>
      <c r="B1095">
        <v>1.2769379999999999</v>
      </c>
      <c r="C1095">
        <v>-107.389</v>
      </c>
      <c r="D1095">
        <v>-107.389</v>
      </c>
      <c r="E1095">
        <v>0.65551899999999996</v>
      </c>
      <c r="F1095" t="s">
        <v>57</v>
      </c>
    </row>
    <row r="1096" spans="1:6" x14ac:dyDescent="0.25">
      <c r="A1096" t="s">
        <v>1396</v>
      </c>
      <c r="B1096">
        <v>1.2555069999999999</v>
      </c>
      <c r="C1096">
        <v>-107.386</v>
      </c>
      <c r="D1096">
        <v>-131.10499999999999</v>
      </c>
      <c r="E1096">
        <v>0.64658300000000002</v>
      </c>
      <c r="F1096" t="s">
        <v>16</v>
      </c>
    </row>
    <row r="1097" spans="1:6" x14ac:dyDescent="0.25">
      <c r="A1097" t="s">
        <v>1397</v>
      </c>
      <c r="B1097">
        <v>1.227087</v>
      </c>
      <c r="C1097">
        <v>-107.38500000000001</v>
      </c>
      <c r="D1097">
        <v>-134.04900000000001</v>
      </c>
      <c r="E1097">
        <v>0.62723300000000004</v>
      </c>
      <c r="F1097" t="s">
        <v>8</v>
      </c>
    </row>
    <row r="1098" spans="1:6" x14ac:dyDescent="0.25">
      <c r="A1098" t="s">
        <v>1398</v>
      </c>
      <c r="B1098" t="s">
        <v>1399</v>
      </c>
      <c r="C1098">
        <f>-107.378 -106.02</f>
        <v>-213.398</v>
      </c>
      <c r="D1098">
        <f>-130.582 -129.334</f>
        <v>-259.916</v>
      </c>
      <c r="E1098" t="s">
        <v>1400</v>
      </c>
      <c r="F1098" t="s">
        <v>94</v>
      </c>
    </row>
    <row r="1099" spans="1:6" x14ac:dyDescent="0.25">
      <c r="A1099" t="s">
        <v>1401</v>
      </c>
      <c r="B1099">
        <v>1.208072</v>
      </c>
      <c r="C1099">
        <v>-107.376</v>
      </c>
      <c r="D1099">
        <v>-139.148</v>
      </c>
      <c r="E1099">
        <v>0.61919599999999997</v>
      </c>
      <c r="F1099" t="s">
        <v>13</v>
      </c>
    </row>
    <row r="1100" spans="1:6" x14ac:dyDescent="0.25">
      <c r="A1100" t="s">
        <v>1402</v>
      </c>
      <c r="B1100">
        <v>1.250454</v>
      </c>
      <c r="C1100">
        <v>-107.367</v>
      </c>
      <c r="D1100">
        <v>-132.684</v>
      </c>
      <c r="E1100">
        <v>0.64042399999999999</v>
      </c>
      <c r="F1100" t="s">
        <v>755</v>
      </c>
    </row>
    <row r="1101" spans="1:6" x14ac:dyDescent="0.25">
      <c r="A1101" t="s">
        <v>1403</v>
      </c>
      <c r="B1101">
        <v>1.2415989999999999</v>
      </c>
      <c r="C1101">
        <v>-107.361</v>
      </c>
      <c r="D1101">
        <v>-131.822</v>
      </c>
      <c r="E1101">
        <v>0.637131</v>
      </c>
      <c r="F1101" t="s">
        <v>19</v>
      </c>
    </row>
    <row r="1102" spans="1:6" x14ac:dyDescent="0.25">
      <c r="A1102" t="s">
        <v>1404</v>
      </c>
      <c r="B1102">
        <v>1.1886699999999999</v>
      </c>
      <c r="C1102">
        <v>-107.358</v>
      </c>
      <c r="D1102">
        <v>-133.74100000000001</v>
      </c>
      <c r="E1102">
        <v>0.60895999999999995</v>
      </c>
      <c r="F1102" t="s">
        <v>57</v>
      </c>
    </row>
    <row r="1103" spans="1:6" x14ac:dyDescent="0.25">
      <c r="A1103" t="s">
        <v>1405</v>
      </c>
      <c r="B1103">
        <v>1.2280470000000001</v>
      </c>
      <c r="C1103">
        <v>-107.352</v>
      </c>
      <c r="D1103">
        <v>-134.22499999999999</v>
      </c>
      <c r="E1103">
        <v>0.63194899999999998</v>
      </c>
      <c r="F1103" t="s">
        <v>194</v>
      </c>
    </row>
    <row r="1104" spans="1:6" x14ac:dyDescent="0.25">
      <c r="A1104" t="s">
        <v>1406</v>
      </c>
      <c r="B1104">
        <v>1.2488570000000001</v>
      </c>
      <c r="C1104">
        <v>-107.343</v>
      </c>
      <c r="D1104">
        <v>-131.88800000000001</v>
      </c>
      <c r="E1104">
        <v>0.63801699999999995</v>
      </c>
      <c r="F1104" t="s">
        <v>13</v>
      </c>
    </row>
    <row r="1105" spans="1:6" x14ac:dyDescent="0.25">
      <c r="A1105" t="s">
        <v>1407</v>
      </c>
      <c r="B1105">
        <v>1.2718210000000001</v>
      </c>
      <c r="C1105">
        <v>-107.342</v>
      </c>
      <c r="D1105">
        <v>-133.72300000000001</v>
      </c>
      <c r="E1105">
        <v>0.65391100000000002</v>
      </c>
      <c r="F1105" t="s">
        <v>124</v>
      </c>
    </row>
    <row r="1106" spans="1:6" x14ac:dyDescent="0.25">
      <c r="A1106" t="s">
        <v>1408</v>
      </c>
      <c r="B1106">
        <v>1.2291289999999999</v>
      </c>
      <c r="C1106">
        <v>-107.339</v>
      </c>
      <c r="D1106">
        <v>-134.75399999999999</v>
      </c>
      <c r="E1106">
        <v>0.63187400000000005</v>
      </c>
      <c r="F1106" t="s">
        <v>49</v>
      </c>
    </row>
    <row r="1107" spans="1:6" x14ac:dyDescent="0.25">
      <c r="A1107" t="s">
        <v>1409</v>
      </c>
      <c r="B1107" t="s">
        <v>1410</v>
      </c>
      <c r="C1107">
        <f>-107.337 -110.944</f>
        <v>-218.28100000000001</v>
      </c>
      <c r="D1107">
        <f>-133.84 -137.392</f>
        <v>-271.23199999999997</v>
      </c>
      <c r="E1107" t="s">
        <v>1411</v>
      </c>
      <c r="F1107" t="s">
        <v>41</v>
      </c>
    </row>
    <row r="1108" spans="1:6" x14ac:dyDescent="0.25">
      <c r="A1108" t="s">
        <v>1412</v>
      </c>
      <c r="B1108">
        <v>1.2780800000000001</v>
      </c>
      <c r="C1108">
        <v>-107.33199999999999</v>
      </c>
      <c r="D1108">
        <v>-132.982</v>
      </c>
      <c r="E1108">
        <v>0.66028299999999995</v>
      </c>
      <c r="F1108" t="s">
        <v>140</v>
      </c>
    </row>
    <row r="1109" spans="1:6" x14ac:dyDescent="0.25">
      <c r="A1109" t="s">
        <v>1413</v>
      </c>
      <c r="B1109">
        <v>1.2395449999999999</v>
      </c>
      <c r="C1109">
        <v>-107.324</v>
      </c>
      <c r="D1109">
        <v>-107.324</v>
      </c>
      <c r="E1109">
        <v>0.63232500000000003</v>
      </c>
      <c r="F1109" t="s">
        <v>13</v>
      </c>
    </row>
    <row r="1110" spans="1:6" x14ac:dyDescent="0.25">
      <c r="A1110" t="s">
        <v>1414</v>
      </c>
      <c r="B1110">
        <v>1.211562</v>
      </c>
      <c r="C1110">
        <v>-107.318</v>
      </c>
      <c r="D1110">
        <v>-107.318</v>
      </c>
      <c r="E1110">
        <v>0.62089399999999995</v>
      </c>
      <c r="F1110" t="s">
        <v>8</v>
      </c>
    </row>
    <row r="1111" spans="1:6" x14ac:dyDescent="0.25">
      <c r="A1111" t="s">
        <v>1415</v>
      </c>
      <c r="B1111">
        <v>1.259863</v>
      </c>
      <c r="C1111">
        <v>-107.307</v>
      </c>
      <c r="D1111">
        <v>-130.917</v>
      </c>
      <c r="E1111">
        <v>0.64633799999999997</v>
      </c>
      <c r="F1111" t="s">
        <v>13</v>
      </c>
    </row>
    <row r="1112" spans="1:6" x14ac:dyDescent="0.25">
      <c r="A1112" t="s">
        <v>1416</v>
      </c>
      <c r="B1112">
        <v>1.215163</v>
      </c>
      <c r="C1112">
        <v>-107.303</v>
      </c>
      <c r="D1112">
        <v>-131.67599999999999</v>
      </c>
      <c r="E1112">
        <v>0.62325900000000001</v>
      </c>
      <c r="F1112" t="s">
        <v>49</v>
      </c>
    </row>
    <row r="1113" spans="1:6" x14ac:dyDescent="0.25">
      <c r="A1113" t="s">
        <v>1417</v>
      </c>
      <c r="B1113">
        <v>1.221516</v>
      </c>
      <c r="C1113">
        <v>-107.301</v>
      </c>
      <c r="D1113">
        <v>-132.685</v>
      </c>
      <c r="E1113">
        <v>0.62709300000000001</v>
      </c>
      <c r="F1113" t="s">
        <v>22</v>
      </c>
    </row>
    <row r="1114" spans="1:6" x14ac:dyDescent="0.25">
      <c r="A1114" t="s">
        <v>1418</v>
      </c>
      <c r="B1114">
        <v>1.27125</v>
      </c>
      <c r="C1114">
        <v>-107.29900000000001</v>
      </c>
      <c r="D1114">
        <v>-132.435</v>
      </c>
      <c r="E1114">
        <v>0.65393500000000004</v>
      </c>
      <c r="F1114" t="s">
        <v>19</v>
      </c>
    </row>
    <row r="1115" spans="1:6" x14ac:dyDescent="0.25">
      <c r="A1115" t="s">
        <v>1419</v>
      </c>
      <c r="B1115">
        <v>1.233174</v>
      </c>
      <c r="C1115">
        <v>-107.29600000000001</v>
      </c>
      <c r="D1115">
        <v>-130.928</v>
      </c>
      <c r="E1115">
        <v>0.63034299999999999</v>
      </c>
      <c r="F1115" t="s">
        <v>13</v>
      </c>
    </row>
    <row r="1116" spans="1:6" x14ac:dyDescent="0.25">
      <c r="A1116" t="s">
        <v>1420</v>
      </c>
      <c r="B1116">
        <v>1.248435</v>
      </c>
      <c r="C1116">
        <v>-107.29300000000001</v>
      </c>
      <c r="D1116">
        <v>-133.227</v>
      </c>
      <c r="E1116">
        <v>0.63805000000000001</v>
      </c>
      <c r="F1116" t="s">
        <v>8</v>
      </c>
    </row>
    <row r="1117" spans="1:6" x14ac:dyDescent="0.25">
      <c r="A1117" t="s">
        <v>1421</v>
      </c>
      <c r="B1117">
        <v>1.2564070000000001</v>
      </c>
      <c r="C1117">
        <v>-107.29</v>
      </c>
      <c r="D1117">
        <v>-107.29</v>
      </c>
      <c r="E1117">
        <v>0.64481100000000002</v>
      </c>
      <c r="F1117" t="s">
        <v>140</v>
      </c>
    </row>
    <row r="1118" spans="1:6" x14ac:dyDescent="0.25">
      <c r="A1118" t="s">
        <v>1422</v>
      </c>
      <c r="B1118">
        <v>1.248149</v>
      </c>
      <c r="C1118">
        <v>-107.288</v>
      </c>
      <c r="D1118">
        <v>-131.47499999999999</v>
      </c>
      <c r="E1118">
        <v>0.63892700000000002</v>
      </c>
      <c r="F1118" t="s">
        <v>8</v>
      </c>
    </row>
    <row r="1119" spans="1:6" x14ac:dyDescent="0.25">
      <c r="A1119" t="s">
        <v>1423</v>
      </c>
      <c r="B1119">
        <v>1.2233400000000001</v>
      </c>
      <c r="C1119">
        <v>-107.27500000000001</v>
      </c>
      <c r="D1119">
        <v>-132.60599999999999</v>
      </c>
      <c r="E1119">
        <v>0.62537399999999999</v>
      </c>
      <c r="F1119" t="s">
        <v>22</v>
      </c>
    </row>
    <row r="1120" spans="1:6" x14ac:dyDescent="0.25">
      <c r="A1120" t="s">
        <v>1424</v>
      </c>
      <c r="B1120">
        <v>1.263395</v>
      </c>
      <c r="C1120">
        <v>-107.271</v>
      </c>
      <c r="D1120">
        <v>-107.271</v>
      </c>
      <c r="E1120">
        <v>0.64412199999999997</v>
      </c>
      <c r="F1120" t="s">
        <v>19</v>
      </c>
    </row>
    <row r="1121" spans="1:6" x14ac:dyDescent="0.25">
      <c r="A1121" t="s">
        <v>1425</v>
      </c>
      <c r="B1121" t="s">
        <v>1426</v>
      </c>
      <c r="C1121">
        <f>-107.257 -114.845</f>
        <v>-222.102</v>
      </c>
      <c r="D1121">
        <f>-131.742 -139.171</f>
        <v>-270.91300000000001</v>
      </c>
      <c r="E1121" t="s">
        <v>1427</v>
      </c>
      <c r="F1121" t="s">
        <v>87</v>
      </c>
    </row>
    <row r="1122" spans="1:6" x14ac:dyDescent="0.25">
      <c r="A1122" t="s">
        <v>1428</v>
      </c>
      <c r="B1122">
        <v>1.260729</v>
      </c>
      <c r="C1122">
        <v>-107.255</v>
      </c>
      <c r="D1122">
        <v>-130.613</v>
      </c>
      <c r="E1122">
        <v>0.64727900000000005</v>
      </c>
      <c r="F1122" t="s">
        <v>13</v>
      </c>
    </row>
    <row r="1123" spans="1:6" x14ac:dyDescent="0.25">
      <c r="A1123" t="s">
        <v>1429</v>
      </c>
      <c r="B1123" t="s">
        <v>1430</v>
      </c>
      <c r="C1123">
        <f>-107.233 -107.215</f>
        <v>-214.44800000000001</v>
      </c>
      <c r="D1123">
        <f>-130.068 -130.884</f>
        <v>-260.952</v>
      </c>
      <c r="E1123" t="s">
        <v>1431</v>
      </c>
      <c r="F1123" t="s">
        <v>702</v>
      </c>
    </row>
    <row r="1124" spans="1:6" x14ac:dyDescent="0.25">
      <c r="A1124" t="s">
        <v>1432</v>
      </c>
      <c r="B1124">
        <v>1.251501</v>
      </c>
      <c r="C1124">
        <v>-107.226</v>
      </c>
      <c r="D1124">
        <v>-132.92699999999999</v>
      </c>
      <c r="E1124">
        <v>0.64415500000000003</v>
      </c>
      <c r="F1124" t="s">
        <v>19</v>
      </c>
    </row>
    <row r="1125" spans="1:6" x14ac:dyDescent="0.25">
      <c r="A1125" t="s">
        <v>1433</v>
      </c>
      <c r="B1125">
        <v>1.2357389999999999</v>
      </c>
      <c r="C1125">
        <v>-107.223</v>
      </c>
      <c r="D1125">
        <v>-107.223</v>
      </c>
      <c r="E1125">
        <v>0.63197400000000004</v>
      </c>
      <c r="F1125" t="s">
        <v>201</v>
      </c>
    </row>
    <row r="1126" spans="1:6" x14ac:dyDescent="0.25">
      <c r="A1126" t="s">
        <v>1434</v>
      </c>
      <c r="B1126">
        <v>1.2510950000000001</v>
      </c>
      <c r="C1126">
        <v>-107.20399999999999</v>
      </c>
      <c r="D1126">
        <v>-107.20399999999999</v>
      </c>
      <c r="E1126">
        <v>0.64293900000000004</v>
      </c>
      <c r="F1126" t="s">
        <v>57</v>
      </c>
    </row>
    <row r="1127" spans="1:6" x14ac:dyDescent="0.25">
      <c r="A1127" t="s">
        <v>1435</v>
      </c>
      <c r="B1127">
        <v>1.2462960000000001</v>
      </c>
      <c r="C1127">
        <v>-107.202</v>
      </c>
      <c r="D1127">
        <v>-131.76900000000001</v>
      </c>
      <c r="E1127">
        <v>0.63800800000000002</v>
      </c>
      <c r="F1127" t="s">
        <v>22</v>
      </c>
    </row>
    <row r="1128" spans="1:6" x14ac:dyDescent="0.25">
      <c r="A1128" t="s">
        <v>1436</v>
      </c>
      <c r="B1128">
        <v>1.2012799999999999</v>
      </c>
      <c r="C1128">
        <v>-107.185</v>
      </c>
      <c r="D1128">
        <v>-130.94900000000001</v>
      </c>
      <c r="E1128">
        <v>0.61876100000000001</v>
      </c>
      <c r="F1128" t="s">
        <v>194</v>
      </c>
    </row>
    <row r="1129" spans="1:6" x14ac:dyDescent="0.25">
      <c r="A1129" t="s">
        <v>1437</v>
      </c>
      <c r="B1129">
        <v>1.2432080000000001</v>
      </c>
      <c r="C1129">
        <v>-107.17700000000001</v>
      </c>
      <c r="D1129">
        <v>-130.98500000000001</v>
      </c>
      <c r="E1129">
        <v>0.63730399999999998</v>
      </c>
      <c r="F1129" t="s">
        <v>57</v>
      </c>
    </row>
    <row r="1130" spans="1:6" x14ac:dyDescent="0.25">
      <c r="A1130" t="s">
        <v>1438</v>
      </c>
      <c r="B1130">
        <v>1.2853699999999999</v>
      </c>
      <c r="C1130">
        <v>-107.169</v>
      </c>
      <c r="D1130">
        <v>-107.169</v>
      </c>
      <c r="E1130">
        <v>0.66020299999999998</v>
      </c>
      <c r="F1130" t="s">
        <v>13</v>
      </c>
    </row>
    <row r="1131" spans="1:6" x14ac:dyDescent="0.25">
      <c r="A1131" t="s">
        <v>1439</v>
      </c>
      <c r="B1131">
        <v>1.284243</v>
      </c>
      <c r="C1131">
        <v>-107.166</v>
      </c>
      <c r="D1131">
        <v>-131.71299999999999</v>
      </c>
      <c r="E1131">
        <v>0.66020699999999999</v>
      </c>
      <c r="F1131" t="s">
        <v>26</v>
      </c>
    </row>
    <row r="1132" spans="1:6" x14ac:dyDescent="0.25">
      <c r="A1132" t="s">
        <v>1440</v>
      </c>
      <c r="B1132">
        <v>1.242448</v>
      </c>
      <c r="C1132">
        <v>-107.164</v>
      </c>
      <c r="D1132">
        <v>-130.16300000000001</v>
      </c>
      <c r="E1132">
        <v>0.63606499999999999</v>
      </c>
      <c r="F1132" t="s">
        <v>57</v>
      </c>
    </row>
    <row r="1133" spans="1:6" x14ac:dyDescent="0.25">
      <c r="A1133" t="s">
        <v>1441</v>
      </c>
      <c r="B1133">
        <v>1.221822</v>
      </c>
      <c r="C1133">
        <v>-107.163</v>
      </c>
      <c r="D1133">
        <v>-133.35499999999999</v>
      </c>
      <c r="E1133">
        <v>0.62546100000000004</v>
      </c>
      <c r="F1133" t="s">
        <v>11</v>
      </c>
    </row>
    <row r="1134" spans="1:6" x14ac:dyDescent="0.25">
      <c r="A1134" t="s">
        <v>1442</v>
      </c>
      <c r="B1134">
        <v>1.2651829999999999</v>
      </c>
      <c r="C1134">
        <v>-107.158</v>
      </c>
      <c r="D1134">
        <v>-132.15700000000001</v>
      </c>
      <c r="E1134">
        <v>0.64848700000000004</v>
      </c>
      <c r="F1134" t="s">
        <v>24</v>
      </c>
    </row>
    <row r="1135" spans="1:6" x14ac:dyDescent="0.25">
      <c r="A1135" t="s">
        <v>1443</v>
      </c>
      <c r="B1135">
        <v>1.2318039999999999</v>
      </c>
      <c r="C1135">
        <v>-107.15600000000001</v>
      </c>
      <c r="D1135">
        <v>-133.184</v>
      </c>
      <c r="E1135">
        <v>0.63238799999999995</v>
      </c>
      <c r="F1135" t="s">
        <v>22</v>
      </c>
    </row>
    <row r="1136" spans="1:6" x14ac:dyDescent="0.25">
      <c r="A1136" t="s">
        <v>1444</v>
      </c>
      <c r="B1136">
        <v>1.2333480000000001</v>
      </c>
      <c r="C1136">
        <v>-107.155</v>
      </c>
      <c r="D1136">
        <v>-131.49199999999999</v>
      </c>
      <c r="E1136">
        <v>0.63271100000000002</v>
      </c>
      <c r="F1136" t="s">
        <v>57</v>
      </c>
    </row>
    <row r="1137" spans="1:6" x14ac:dyDescent="0.25">
      <c r="A1137" t="s">
        <v>1445</v>
      </c>
      <c r="B1137" t="s">
        <v>1446</v>
      </c>
      <c r="C1137">
        <f>-107.133 -108.245</f>
        <v>-215.37799999999999</v>
      </c>
      <c r="D1137">
        <f>-132.66 -133.482</f>
        <v>-266.142</v>
      </c>
      <c r="E1137" t="s">
        <v>1447</v>
      </c>
      <c r="F1137" t="s">
        <v>1448</v>
      </c>
    </row>
    <row r="1138" spans="1:6" x14ac:dyDescent="0.25">
      <c r="A1138" t="s">
        <v>1449</v>
      </c>
      <c r="B1138">
        <v>1.2824899999999999</v>
      </c>
      <c r="C1138">
        <v>-107.125</v>
      </c>
      <c r="D1138">
        <v>-107.125</v>
      </c>
      <c r="E1138">
        <v>0.65849500000000005</v>
      </c>
      <c r="F1138" t="s">
        <v>24</v>
      </c>
    </row>
    <row r="1139" spans="1:6" x14ac:dyDescent="0.25">
      <c r="A1139" t="s">
        <v>1450</v>
      </c>
      <c r="B1139">
        <v>1.264257</v>
      </c>
      <c r="C1139">
        <v>-107.122</v>
      </c>
      <c r="D1139">
        <v>-130.89500000000001</v>
      </c>
      <c r="E1139">
        <v>0.64904499999999998</v>
      </c>
      <c r="F1139" t="s">
        <v>19</v>
      </c>
    </row>
    <row r="1140" spans="1:6" x14ac:dyDescent="0.25">
      <c r="A1140" t="s">
        <v>1451</v>
      </c>
      <c r="B1140">
        <v>1.257155</v>
      </c>
      <c r="C1140">
        <v>-107.113</v>
      </c>
      <c r="D1140">
        <v>-107.113</v>
      </c>
      <c r="E1140">
        <v>0.64519899999999997</v>
      </c>
      <c r="F1140" t="s">
        <v>8</v>
      </c>
    </row>
    <row r="1141" spans="1:6" x14ac:dyDescent="0.25">
      <c r="A1141" t="s">
        <v>1452</v>
      </c>
      <c r="B1141">
        <v>1.2627109999999999</v>
      </c>
      <c r="C1141">
        <v>-107.089</v>
      </c>
      <c r="D1141">
        <v>-130.79900000000001</v>
      </c>
      <c r="E1141">
        <v>0.644563</v>
      </c>
      <c r="F1141" t="s">
        <v>13</v>
      </c>
    </row>
    <row r="1142" spans="1:6" x14ac:dyDescent="0.25">
      <c r="A1142" t="s">
        <v>1453</v>
      </c>
      <c r="B1142">
        <v>1.238111</v>
      </c>
      <c r="C1142">
        <v>-107.08799999999999</v>
      </c>
      <c r="D1142">
        <v>-130.61000000000001</v>
      </c>
      <c r="E1142">
        <v>0.63563199999999997</v>
      </c>
      <c r="F1142" t="s">
        <v>11</v>
      </c>
    </row>
    <row r="1143" spans="1:6" x14ac:dyDescent="0.25">
      <c r="A1143" t="s">
        <v>1454</v>
      </c>
      <c r="B1143">
        <v>1.2583329999999999</v>
      </c>
      <c r="C1143">
        <v>-107.07299999999999</v>
      </c>
      <c r="D1143">
        <v>-132.12299999999999</v>
      </c>
      <c r="E1143">
        <v>0.64221399999999995</v>
      </c>
      <c r="F1143" t="s">
        <v>13</v>
      </c>
    </row>
    <row r="1144" spans="1:6" x14ac:dyDescent="0.25">
      <c r="A1144" t="s">
        <v>1455</v>
      </c>
      <c r="B1144">
        <v>1.2095849999999999</v>
      </c>
      <c r="C1144">
        <v>-107.068</v>
      </c>
      <c r="D1144">
        <v>-132.721</v>
      </c>
      <c r="E1144">
        <v>0.62041999999999997</v>
      </c>
      <c r="F1144" t="s">
        <v>246</v>
      </c>
    </row>
    <row r="1145" spans="1:6" x14ac:dyDescent="0.25">
      <c r="A1145" t="s">
        <v>1456</v>
      </c>
      <c r="B1145" t="s">
        <v>1457</v>
      </c>
      <c r="C1145">
        <f>-107.065 -105.907</f>
        <v>-212.97199999999998</v>
      </c>
      <c r="D1145" t="s">
        <v>1458</v>
      </c>
      <c r="E1145" t="s">
        <v>1459</v>
      </c>
      <c r="F1145" t="s">
        <v>1460</v>
      </c>
    </row>
    <row r="1146" spans="1:6" x14ac:dyDescent="0.25">
      <c r="A1146" t="s">
        <v>1461</v>
      </c>
      <c r="B1146">
        <v>1.196518</v>
      </c>
      <c r="C1146">
        <v>-107.063</v>
      </c>
      <c r="D1146">
        <v>-133.09899999999999</v>
      </c>
      <c r="E1146">
        <v>0.61485699999999999</v>
      </c>
      <c r="F1146" t="s">
        <v>124</v>
      </c>
    </row>
    <row r="1147" spans="1:6" x14ac:dyDescent="0.25">
      <c r="A1147" t="s">
        <v>1462</v>
      </c>
      <c r="B1147">
        <v>1.239438</v>
      </c>
      <c r="C1147">
        <v>-107.06</v>
      </c>
      <c r="D1147">
        <v>-131.69300000000001</v>
      </c>
      <c r="E1147">
        <v>0.63647600000000004</v>
      </c>
      <c r="F1147" t="s">
        <v>8</v>
      </c>
    </row>
    <row r="1148" spans="1:6" x14ac:dyDescent="0.25">
      <c r="A1148" t="s">
        <v>1463</v>
      </c>
      <c r="B1148">
        <v>1.2698130000000001</v>
      </c>
      <c r="C1148">
        <v>-107.059</v>
      </c>
      <c r="D1148">
        <v>-107.059</v>
      </c>
      <c r="E1148">
        <v>0.654474</v>
      </c>
      <c r="F1148" t="s">
        <v>16</v>
      </c>
    </row>
    <row r="1149" spans="1:6" x14ac:dyDescent="0.25">
      <c r="A1149" t="s">
        <v>1464</v>
      </c>
      <c r="B1149">
        <v>1.251423</v>
      </c>
      <c r="C1149">
        <v>-107.04900000000001</v>
      </c>
      <c r="D1149">
        <v>-132.226</v>
      </c>
      <c r="E1149">
        <v>0.64358199999999999</v>
      </c>
      <c r="F1149" t="s">
        <v>13</v>
      </c>
    </row>
    <row r="1150" spans="1:6" x14ac:dyDescent="0.25">
      <c r="A1150" t="s">
        <v>1465</v>
      </c>
      <c r="B1150">
        <v>1.281433</v>
      </c>
      <c r="C1150">
        <v>-107.047</v>
      </c>
      <c r="D1150">
        <v>-130.41</v>
      </c>
      <c r="E1150">
        <v>0.65712199999999998</v>
      </c>
      <c r="F1150" t="s">
        <v>13</v>
      </c>
    </row>
    <row r="1151" spans="1:6" x14ac:dyDescent="0.25">
      <c r="A1151" t="s">
        <v>1466</v>
      </c>
      <c r="B1151">
        <v>1.235509</v>
      </c>
      <c r="C1151">
        <v>-107.047</v>
      </c>
      <c r="D1151">
        <v>-129.69999999999999</v>
      </c>
      <c r="E1151">
        <v>0.63578199999999996</v>
      </c>
      <c r="F1151" t="s">
        <v>16</v>
      </c>
    </row>
    <row r="1152" spans="1:6" x14ac:dyDescent="0.25">
      <c r="A1152" t="s">
        <v>1467</v>
      </c>
      <c r="B1152">
        <v>1.2224170000000001</v>
      </c>
      <c r="C1152">
        <v>-107.042</v>
      </c>
      <c r="D1152">
        <v>-132.661</v>
      </c>
      <c r="E1152">
        <v>0.62817699999999999</v>
      </c>
      <c r="F1152" t="s">
        <v>144</v>
      </c>
    </row>
    <row r="1153" spans="1:6" x14ac:dyDescent="0.25">
      <c r="A1153" t="s">
        <v>1468</v>
      </c>
      <c r="B1153">
        <v>1.2509669999999999</v>
      </c>
      <c r="C1153">
        <v>-107.012</v>
      </c>
      <c r="D1153">
        <v>-132.74799999999999</v>
      </c>
      <c r="E1153">
        <v>0.64232999999999996</v>
      </c>
      <c r="F1153" t="s">
        <v>57</v>
      </c>
    </row>
    <row r="1154" spans="1:6" x14ac:dyDescent="0.25">
      <c r="A1154" t="s">
        <v>1469</v>
      </c>
      <c r="B1154">
        <v>1.2246779999999999</v>
      </c>
      <c r="C1154">
        <v>-107.005</v>
      </c>
      <c r="D1154">
        <v>-131.221</v>
      </c>
      <c r="E1154">
        <v>0.62930699999999995</v>
      </c>
      <c r="F1154" t="s">
        <v>57</v>
      </c>
    </row>
    <row r="1155" spans="1:6" x14ac:dyDescent="0.25">
      <c r="A1155" t="s">
        <v>1470</v>
      </c>
      <c r="B1155">
        <v>1.215149</v>
      </c>
      <c r="C1155">
        <v>-106.998</v>
      </c>
      <c r="D1155">
        <v>-131.964</v>
      </c>
      <c r="E1155">
        <v>0.62326899999999996</v>
      </c>
      <c r="F1155" t="s">
        <v>8</v>
      </c>
    </row>
    <row r="1156" spans="1:6" x14ac:dyDescent="0.25">
      <c r="A1156" t="s">
        <v>1471</v>
      </c>
      <c r="B1156">
        <v>1.258912</v>
      </c>
      <c r="C1156">
        <v>-106.996</v>
      </c>
      <c r="D1156">
        <v>-131.78299999999999</v>
      </c>
      <c r="E1156">
        <v>0.64610699999999999</v>
      </c>
      <c r="F1156" t="s">
        <v>16</v>
      </c>
    </row>
    <row r="1157" spans="1:6" x14ac:dyDescent="0.25">
      <c r="A1157" t="s">
        <v>1472</v>
      </c>
      <c r="B1157">
        <v>1.23444</v>
      </c>
      <c r="C1157">
        <v>-106.98699999999999</v>
      </c>
      <c r="D1157">
        <v>-131.22800000000001</v>
      </c>
      <c r="E1157">
        <v>0.633683</v>
      </c>
      <c r="F1157" t="s">
        <v>57</v>
      </c>
    </row>
    <row r="1158" spans="1:6" x14ac:dyDescent="0.25">
      <c r="A1158" t="s">
        <v>1473</v>
      </c>
      <c r="B1158">
        <v>1.258875</v>
      </c>
      <c r="C1158">
        <v>-106.985</v>
      </c>
      <c r="D1158">
        <v>-131.30199999999999</v>
      </c>
      <c r="E1158">
        <v>0.64714799999999995</v>
      </c>
      <c r="F1158" t="s">
        <v>8</v>
      </c>
    </row>
    <row r="1159" spans="1:6" x14ac:dyDescent="0.25">
      <c r="A1159" t="s">
        <v>1474</v>
      </c>
      <c r="B1159" t="s">
        <v>1475</v>
      </c>
      <c r="C1159">
        <f>-106.983 -105.88</f>
        <v>-212.863</v>
      </c>
      <c r="D1159">
        <f>-106.983 -129.765</f>
        <v>-236.74799999999999</v>
      </c>
      <c r="E1159" t="s">
        <v>1476</v>
      </c>
      <c r="F1159" t="s">
        <v>1477</v>
      </c>
    </row>
    <row r="1160" spans="1:6" x14ac:dyDescent="0.25">
      <c r="A1160" t="s">
        <v>1478</v>
      </c>
      <c r="B1160">
        <v>1.250402</v>
      </c>
      <c r="C1160">
        <v>-106.983</v>
      </c>
      <c r="D1160">
        <v>-131.54599999999999</v>
      </c>
      <c r="E1160">
        <v>0.64099200000000001</v>
      </c>
      <c r="F1160" t="s">
        <v>13</v>
      </c>
    </row>
    <row r="1161" spans="1:6" x14ac:dyDescent="0.25">
      <c r="A1161" t="s">
        <v>1479</v>
      </c>
      <c r="B1161">
        <v>1.238353</v>
      </c>
      <c r="C1161">
        <v>-106.98099999999999</v>
      </c>
      <c r="D1161">
        <v>-129.83799999999999</v>
      </c>
      <c r="E1161">
        <v>0.63383900000000004</v>
      </c>
      <c r="F1161" t="s">
        <v>24</v>
      </c>
    </row>
    <row r="1162" spans="1:6" x14ac:dyDescent="0.25">
      <c r="A1162" t="s">
        <v>1480</v>
      </c>
      <c r="B1162">
        <v>1.239554</v>
      </c>
      <c r="C1162">
        <v>-106.979</v>
      </c>
      <c r="D1162">
        <v>-131.87700000000001</v>
      </c>
      <c r="E1162">
        <v>0.63553499999999996</v>
      </c>
      <c r="F1162" t="s">
        <v>22</v>
      </c>
    </row>
    <row r="1163" spans="1:6" x14ac:dyDescent="0.25">
      <c r="A1163" t="s">
        <v>1481</v>
      </c>
      <c r="B1163">
        <v>1.2573190000000001</v>
      </c>
      <c r="C1163">
        <v>-106.977</v>
      </c>
      <c r="D1163">
        <v>-106.977</v>
      </c>
      <c r="E1163">
        <v>0.648424</v>
      </c>
      <c r="F1163" t="s">
        <v>194</v>
      </c>
    </row>
    <row r="1164" spans="1:6" x14ac:dyDescent="0.25">
      <c r="A1164" t="s">
        <v>1482</v>
      </c>
      <c r="B1164">
        <v>1.2563439999999999</v>
      </c>
      <c r="C1164">
        <v>-106.976</v>
      </c>
      <c r="D1164">
        <v>-131.44</v>
      </c>
      <c r="E1164">
        <v>0.64504499999999998</v>
      </c>
      <c r="F1164" t="s">
        <v>57</v>
      </c>
    </row>
    <row r="1165" spans="1:6" x14ac:dyDescent="0.25">
      <c r="A1165" t="s">
        <v>1483</v>
      </c>
      <c r="B1165">
        <v>1.232113</v>
      </c>
      <c r="C1165">
        <v>-106.974</v>
      </c>
      <c r="D1165">
        <v>-131.20500000000001</v>
      </c>
      <c r="E1165">
        <v>0.630436</v>
      </c>
      <c r="F1165" t="s">
        <v>22</v>
      </c>
    </row>
    <row r="1166" spans="1:6" x14ac:dyDescent="0.25">
      <c r="A1166" t="s">
        <v>1484</v>
      </c>
      <c r="B1166">
        <v>1.2164269999999999</v>
      </c>
      <c r="C1166">
        <v>-106.952</v>
      </c>
      <c r="D1166">
        <v>-131.23099999999999</v>
      </c>
      <c r="E1166">
        <v>0.62504300000000002</v>
      </c>
      <c r="F1166" t="s">
        <v>22</v>
      </c>
    </row>
    <row r="1167" spans="1:6" x14ac:dyDescent="0.25">
      <c r="A1167" t="s">
        <v>1485</v>
      </c>
      <c r="B1167">
        <v>1.229827</v>
      </c>
      <c r="C1167">
        <v>-106.95</v>
      </c>
      <c r="D1167">
        <v>-129.42400000000001</v>
      </c>
      <c r="E1167">
        <v>0.62939500000000004</v>
      </c>
      <c r="F1167" t="s">
        <v>26</v>
      </c>
    </row>
    <row r="1168" spans="1:6" x14ac:dyDescent="0.25">
      <c r="A1168" t="s">
        <v>1486</v>
      </c>
      <c r="B1168">
        <v>1.21</v>
      </c>
      <c r="C1168">
        <v>-106.947</v>
      </c>
      <c r="D1168">
        <v>-132.57900000000001</v>
      </c>
      <c r="E1168">
        <v>0.62080900000000006</v>
      </c>
      <c r="F1168" t="s">
        <v>8</v>
      </c>
    </row>
    <row r="1169" spans="1:6" x14ac:dyDescent="0.25">
      <c r="A1169" t="s">
        <v>1487</v>
      </c>
      <c r="B1169">
        <v>1.242499</v>
      </c>
      <c r="C1169">
        <v>-106.94499999999999</v>
      </c>
      <c r="D1169">
        <v>-106.94499999999999</v>
      </c>
      <c r="E1169">
        <v>0.63834400000000002</v>
      </c>
      <c r="F1169" t="s">
        <v>69</v>
      </c>
    </row>
    <row r="1170" spans="1:6" x14ac:dyDescent="0.25">
      <c r="A1170" t="s">
        <v>1488</v>
      </c>
      <c r="B1170" t="s">
        <v>1489</v>
      </c>
      <c r="C1170">
        <f>-106.944 -108.925</f>
        <v>-215.869</v>
      </c>
      <c r="D1170">
        <f>-131.79 -132.496</f>
        <v>-264.286</v>
      </c>
      <c r="E1170" t="s">
        <v>1490</v>
      </c>
      <c r="F1170" t="s">
        <v>187</v>
      </c>
    </row>
    <row r="1171" spans="1:6" x14ac:dyDescent="0.25">
      <c r="A1171" t="s">
        <v>1491</v>
      </c>
      <c r="B1171">
        <v>1.2463409999999999</v>
      </c>
      <c r="C1171">
        <v>-106.92400000000001</v>
      </c>
      <c r="D1171">
        <v>-131.86099999999999</v>
      </c>
      <c r="E1171">
        <v>0.64053499999999997</v>
      </c>
      <c r="F1171" t="s">
        <v>57</v>
      </c>
    </row>
    <row r="1172" spans="1:6" x14ac:dyDescent="0.25">
      <c r="A1172" t="s">
        <v>1492</v>
      </c>
      <c r="B1172">
        <v>1.231859</v>
      </c>
      <c r="C1172">
        <v>-106.917</v>
      </c>
      <c r="D1172">
        <v>-130.166</v>
      </c>
      <c r="E1172">
        <v>0.63058199999999998</v>
      </c>
      <c r="F1172" t="s">
        <v>8</v>
      </c>
    </row>
    <row r="1173" spans="1:6" x14ac:dyDescent="0.25">
      <c r="A1173" t="s">
        <v>1493</v>
      </c>
      <c r="B1173">
        <v>1.2502899999999999</v>
      </c>
      <c r="C1173">
        <v>-106.913</v>
      </c>
      <c r="D1173">
        <v>-130.166</v>
      </c>
      <c r="E1173">
        <v>0.64073500000000005</v>
      </c>
      <c r="F1173" t="s">
        <v>24</v>
      </c>
    </row>
    <row r="1174" spans="1:6" x14ac:dyDescent="0.25">
      <c r="A1174" t="s">
        <v>1494</v>
      </c>
      <c r="B1174" t="s">
        <v>1495</v>
      </c>
      <c r="C1174">
        <f>-106.91 -114.371</f>
        <v>-221.28100000000001</v>
      </c>
      <c r="D1174">
        <f>-130.34 -138.118</f>
        <v>-268.45799999999997</v>
      </c>
      <c r="E1174" t="s">
        <v>1496</v>
      </c>
      <c r="F1174" t="s">
        <v>1005</v>
      </c>
    </row>
    <row r="1175" spans="1:6" x14ac:dyDescent="0.25">
      <c r="A1175" t="s">
        <v>1497</v>
      </c>
      <c r="B1175">
        <v>1.241941</v>
      </c>
      <c r="C1175">
        <v>-106.9</v>
      </c>
      <c r="D1175">
        <v>-132.56800000000001</v>
      </c>
      <c r="E1175">
        <v>0.63543000000000005</v>
      </c>
      <c r="F1175" t="s">
        <v>246</v>
      </c>
    </row>
    <row r="1176" spans="1:6" x14ac:dyDescent="0.25">
      <c r="A1176" t="s">
        <v>1498</v>
      </c>
      <c r="B1176">
        <v>1.2597689999999999</v>
      </c>
      <c r="C1176">
        <v>-106.89400000000001</v>
      </c>
      <c r="D1176">
        <v>-131.483</v>
      </c>
      <c r="E1176">
        <v>0.64667300000000005</v>
      </c>
      <c r="F1176" t="s">
        <v>19</v>
      </c>
    </row>
    <row r="1177" spans="1:6" x14ac:dyDescent="0.25">
      <c r="A1177" t="s">
        <v>1499</v>
      </c>
      <c r="B1177">
        <v>1.2382660000000001</v>
      </c>
      <c r="C1177">
        <v>-106.884</v>
      </c>
      <c r="D1177">
        <v>-132.73099999999999</v>
      </c>
      <c r="E1177">
        <v>0.63528499999999999</v>
      </c>
      <c r="F1177" t="s">
        <v>22</v>
      </c>
    </row>
    <row r="1178" spans="1:6" x14ac:dyDescent="0.25">
      <c r="A1178" t="s">
        <v>1500</v>
      </c>
      <c r="B1178">
        <v>1.282691</v>
      </c>
      <c r="C1178">
        <v>-106.875</v>
      </c>
      <c r="D1178">
        <v>-131.51400000000001</v>
      </c>
      <c r="E1178">
        <v>0.65859500000000004</v>
      </c>
      <c r="F1178" t="s">
        <v>57</v>
      </c>
    </row>
    <row r="1179" spans="1:6" x14ac:dyDescent="0.25">
      <c r="A1179" t="s">
        <v>1501</v>
      </c>
      <c r="B1179">
        <v>1.2391129999999999</v>
      </c>
      <c r="C1179">
        <v>-106.87</v>
      </c>
      <c r="D1179">
        <v>-106.87</v>
      </c>
      <c r="E1179">
        <v>0.63688299999999998</v>
      </c>
      <c r="F1179" t="s">
        <v>57</v>
      </c>
    </row>
    <row r="1180" spans="1:6" x14ac:dyDescent="0.25">
      <c r="A1180" t="s">
        <v>1502</v>
      </c>
      <c r="B1180">
        <v>1.2408159999999999</v>
      </c>
      <c r="C1180">
        <v>-106.858</v>
      </c>
      <c r="D1180">
        <v>-130.82599999999999</v>
      </c>
      <c r="E1180">
        <v>0.63804000000000005</v>
      </c>
      <c r="F1180" t="s">
        <v>24</v>
      </c>
    </row>
    <row r="1181" spans="1:6" x14ac:dyDescent="0.25">
      <c r="A1181" t="s">
        <v>1503</v>
      </c>
      <c r="B1181" t="s">
        <v>1504</v>
      </c>
      <c r="C1181">
        <f>-106.855 -106.131</f>
        <v>-212.98599999999999</v>
      </c>
      <c r="D1181">
        <f>-131.28 -106.131</f>
        <v>-237.411</v>
      </c>
      <c r="E1181" t="s">
        <v>1505</v>
      </c>
      <c r="F1181" t="s">
        <v>1506</v>
      </c>
    </row>
    <row r="1182" spans="1:6" x14ac:dyDescent="0.25">
      <c r="A1182" t="s">
        <v>1507</v>
      </c>
      <c r="B1182">
        <v>1.2184969999999999</v>
      </c>
      <c r="C1182">
        <v>-106.849</v>
      </c>
      <c r="D1182">
        <v>-133.46700000000001</v>
      </c>
      <c r="E1182">
        <v>0.62443599999999999</v>
      </c>
      <c r="F1182" t="s">
        <v>140</v>
      </c>
    </row>
    <row r="1183" spans="1:6" x14ac:dyDescent="0.25">
      <c r="A1183" t="s">
        <v>1508</v>
      </c>
      <c r="B1183">
        <v>1.1961710000000001</v>
      </c>
      <c r="C1183">
        <v>-106.848</v>
      </c>
      <c r="D1183">
        <v>0</v>
      </c>
      <c r="E1183">
        <v>0.611348</v>
      </c>
      <c r="F1183" t="s">
        <v>24</v>
      </c>
    </row>
    <row r="1184" spans="1:6" x14ac:dyDescent="0.25">
      <c r="A1184" t="s">
        <v>1509</v>
      </c>
      <c r="B1184">
        <v>1.2597020000000001</v>
      </c>
      <c r="C1184">
        <v>-106.84</v>
      </c>
      <c r="D1184">
        <v>-131.346</v>
      </c>
      <c r="E1184">
        <v>0.64778500000000006</v>
      </c>
      <c r="F1184" t="s">
        <v>13</v>
      </c>
    </row>
    <row r="1185" spans="1:6" x14ac:dyDescent="0.25">
      <c r="A1185" t="s">
        <v>1510</v>
      </c>
      <c r="B1185">
        <v>1.2362979999999999</v>
      </c>
      <c r="C1185">
        <v>-106.834</v>
      </c>
      <c r="D1185">
        <v>-106.834</v>
      </c>
      <c r="E1185">
        <v>0.63513699999999995</v>
      </c>
      <c r="F1185" t="s">
        <v>57</v>
      </c>
    </row>
    <row r="1186" spans="1:6" x14ac:dyDescent="0.25">
      <c r="A1186" t="s">
        <v>1511</v>
      </c>
      <c r="B1186">
        <v>1.2565539999999999</v>
      </c>
      <c r="C1186">
        <v>-106.819</v>
      </c>
      <c r="D1186">
        <v>-106.819</v>
      </c>
      <c r="E1186">
        <v>0.64480700000000002</v>
      </c>
      <c r="F1186" t="s">
        <v>8</v>
      </c>
    </row>
    <row r="1187" spans="1:6" x14ac:dyDescent="0.25">
      <c r="A1187" t="s">
        <v>1512</v>
      </c>
      <c r="B1187">
        <v>1.2520709999999999</v>
      </c>
      <c r="C1187">
        <v>-106.818</v>
      </c>
      <c r="D1187">
        <v>-132.029</v>
      </c>
      <c r="E1187">
        <v>0.64078199999999996</v>
      </c>
      <c r="F1187" t="s">
        <v>8</v>
      </c>
    </row>
    <row r="1188" spans="1:6" x14ac:dyDescent="0.25">
      <c r="A1188" t="s">
        <v>1513</v>
      </c>
      <c r="B1188">
        <v>1.260305</v>
      </c>
      <c r="C1188">
        <v>-106.81399999999999</v>
      </c>
      <c r="D1188">
        <v>-128.72399999999999</v>
      </c>
      <c r="E1188">
        <v>0.64774600000000004</v>
      </c>
      <c r="F1188" t="s">
        <v>405</v>
      </c>
    </row>
    <row r="1189" spans="1:6" x14ac:dyDescent="0.25">
      <c r="A1189" t="s">
        <v>1514</v>
      </c>
      <c r="B1189">
        <v>1.2407699999999999</v>
      </c>
      <c r="C1189">
        <v>-106.786</v>
      </c>
      <c r="D1189">
        <v>-131.221</v>
      </c>
      <c r="E1189">
        <v>0.63568800000000003</v>
      </c>
      <c r="F1189" t="s">
        <v>124</v>
      </c>
    </row>
    <row r="1190" spans="1:6" x14ac:dyDescent="0.25">
      <c r="A1190" t="s">
        <v>1515</v>
      </c>
      <c r="B1190">
        <v>1.2920750000000001</v>
      </c>
      <c r="C1190">
        <v>-106.77500000000001</v>
      </c>
      <c r="D1190">
        <v>-130.26400000000001</v>
      </c>
      <c r="E1190">
        <v>0.66427099999999994</v>
      </c>
      <c r="F1190" t="s">
        <v>26</v>
      </c>
    </row>
    <row r="1191" spans="1:6" x14ac:dyDescent="0.25">
      <c r="A1191" t="s">
        <v>1516</v>
      </c>
      <c r="B1191">
        <v>1.2531559999999999</v>
      </c>
      <c r="C1191">
        <v>-106.771</v>
      </c>
      <c r="D1191">
        <v>-106.771</v>
      </c>
      <c r="E1191">
        <v>0.64239500000000005</v>
      </c>
      <c r="F1191" t="s">
        <v>1517</v>
      </c>
    </row>
    <row r="1192" spans="1:6" x14ac:dyDescent="0.25">
      <c r="A1192" t="s">
        <v>1518</v>
      </c>
      <c r="B1192">
        <v>1.2346520000000001</v>
      </c>
      <c r="C1192">
        <v>-106.767</v>
      </c>
      <c r="D1192">
        <v>-106.767</v>
      </c>
      <c r="E1192">
        <v>0.63356999999999997</v>
      </c>
      <c r="F1192" t="s">
        <v>8</v>
      </c>
    </row>
    <row r="1193" spans="1:6" x14ac:dyDescent="0.25">
      <c r="A1193" t="s">
        <v>1519</v>
      </c>
      <c r="B1193">
        <v>1.243776</v>
      </c>
      <c r="C1193">
        <v>-106.765</v>
      </c>
      <c r="D1193">
        <v>-130.13900000000001</v>
      </c>
      <c r="E1193">
        <v>0.63855899999999999</v>
      </c>
      <c r="F1193" t="s">
        <v>24</v>
      </c>
    </row>
    <row r="1194" spans="1:6" x14ac:dyDescent="0.25">
      <c r="A1194" t="s">
        <v>1520</v>
      </c>
      <c r="B1194">
        <v>1.2556620000000001</v>
      </c>
      <c r="C1194">
        <v>-106.751</v>
      </c>
      <c r="D1194">
        <v>-106.751</v>
      </c>
      <c r="E1194">
        <v>0.64807899999999996</v>
      </c>
      <c r="F1194" t="s">
        <v>211</v>
      </c>
    </row>
    <row r="1195" spans="1:6" x14ac:dyDescent="0.25">
      <c r="A1195" t="s">
        <v>1521</v>
      </c>
      <c r="B1195">
        <v>1.246853</v>
      </c>
      <c r="C1195">
        <v>-106.747</v>
      </c>
      <c r="D1195">
        <v>-130.482</v>
      </c>
      <c r="E1195">
        <v>0.64007400000000003</v>
      </c>
      <c r="F1195" t="s">
        <v>11</v>
      </c>
    </row>
    <row r="1196" spans="1:6" x14ac:dyDescent="0.25">
      <c r="A1196" t="s">
        <v>1522</v>
      </c>
      <c r="B1196">
        <v>1.2151419999999999</v>
      </c>
      <c r="C1196">
        <v>-106.746</v>
      </c>
      <c r="D1196">
        <v>-131.66999999999999</v>
      </c>
      <c r="E1196">
        <v>0.62337500000000001</v>
      </c>
      <c r="F1196" t="s">
        <v>13</v>
      </c>
    </row>
    <row r="1197" spans="1:6" x14ac:dyDescent="0.25">
      <c r="A1197" t="s">
        <v>1523</v>
      </c>
      <c r="B1197">
        <v>1.252904</v>
      </c>
      <c r="C1197">
        <v>-106.732</v>
      </c>
      <c r="D1197">
        <v>-135.15199999999999</v>
      </c>
      <c r="E1197">
        <v>0.64102999999999999</v>
      </c>
      <c r="F1197" t="s">
        <v>8</v>
      </c>
    </row>
    <row r="1198" spans="1:6" x14ac:dyDescent="0.25">
      <c r="A1198" t="s">
        <v>1524</v>
      </c>
      <c r="B1198" t="s">
        <v>1525</v>
      </c>
      <c r="C1198">
        <f>-106.728 -110.192</f>
        <v>-216.92</v>
      </c>
      <c r="D1198">
        <f>-131.806 -134.393</f>
        <v>-266.19900000000001</v>
      </c>
      <c r="E1198" t="s">
        <v>1526</v>
      </c>
      <c r="F1198" t="s">
        <v>87</v>
      </c>
    </row>
    <row r="1199" spans="1:6" x14ac:dyDescent="0.25">
      <c r="A1199" t="s">
        <v>1527</v>
      </c>
      <c r="B1199" t="s">
        <v>1528</v>
      </c>
      <c r="C1199">
        <f>-106.723 -112.312</f>
        <v>-219.035</v>
      </c>
      <c r="D1199">
        <f>-131.361 -136.79</f>
        <v>-268.15099999999995</v>
      </c>
      <c r="E1199" t="s">
        <v>1529</v>
      </c>
      <c r="F1199" t="s">
        <v>87</v>
      </c>
    </row>
    <row r="1200" spans="1:6" x14ac:dyDescent="0.25">
      <c r="A1200" t="s">
        <v>1530</v>
      </c>
      <c r="B1200">
        <v>1.275245</v>
      </c>
      <c r="C1200">
        <v>-106.72199999999999</v>
      </c>
      <c r="D1200">
        <v>-131.774</v>
      </c>
      <c r="E1200">
        <v>0.65520800000000001</v>
      </c>
      <c r="F1200" t="s">
        <v>144</v>
      </c>
    </row>
    <row r="1201" spans="1:6" x14ac:dyDescent="0.25">
      <c r="A1201" t="s">
        <v>1531</v>
      </c>
      <c r="B1201">
        <v>1.2470699999999999</v>
      </c>
      <c r="C1201">
        <v>-106.72</v>
      </c>
      <c r="D1201">
        <v>-132.23099999999999</v>
      </c>
      <c r="E1201">
        <v>0.64054100000000003</v>
      </c>
      <c r="F1201" t="s">
        <v>19</v>
      </c>
    </row>
    <row r="1202" spans="1:6" x14ac:dyDescent="0.25">
      <c r="A1202" t="s">
        <v>1532</v>
      </c>
      <c r="B1202">
        <v>1.2470669999999999</v>
      </c>
      <c r="C1202">
        <v>-106.717</v>
      </c>
      <c r="D1202">
        <v>-132.06800000000001</v>
      </c>
      <c r="E1202">
        <v>0.63997199999999999</v>
      </c>
      <c r="F1202" t="s">
        <v>19</v>
      </c>
    </row>
    <row r="1203" spans="1:6" x14ac:dyDescent="0.25">
      <c r="A1203" t="s">
        <v>1533</v>
      </c>
      <c r="B1203">
        <v>1.224982</v>
      </c>
      <c r="C1203">
        <v>-106.71599999999999</v>
      </c>
      <c r="D1203">
        <v>-129.65799999999999</v>
      </c>
      <c r="E1203">
        <v>0.62758599999999998</v>
      </c>
      <c r="F1203" t="s">
        <v>8</v>
      </c>
    </row>
    <row r="1204" spans="1:6" x14ac:dyDescent="0.25">
      <c r="A1204" t="s">
        <v>1534</v>
      </c>
      <c r="B1204">
        <v>1.201336</v>
      </c>
      <c r="C1204">
        <v>-106.712</v>
      </c>
      <c r="D1204">
        <v>-132.32</v>
      </c>
      <c r="E1204">
        <v>0.61526199999999998</v>
      </c>
      <c r="F1204" t="s">
        <v>57</v>
      </c>
    </row>
    <row r="1205" spans="1:6" x14ac:dyDescent="0.25">
      <c r="A1205" t="s">
        <v>1535</v>
      </c>
      <c r="B1205">
        <v>1.1865570000000001</v>
      </c>
      <c r="C1205">
        <v>-106.706</v>
      </c>
      <c r="D1205">
        <v>-130.97900000000001</v>
      </c>
      <c r="E1205">
        <v>0.607178</v>
      </c>
      <c r="F1205" t="s">
        <v>13</v>
      </c>
    </row>
    <row r="1206" spans="1:6" x14ac:dyDescent="0.25">
      <c r="A1206" t="s">
        <v>1536</v>
      </c>
      <c r="B1206">
        <v>1.2661039999999999</v>
      </c>
      <c r="C1206">
        <v>-106.70399999999999</v>
      </c>
      <c r="D1206">
        <v>-132.05199999999999</v>
      </c>
      <c r="E1206">
        <v>0.65205000000000002</v>
      </c>
      <c r="F1206" t="s">
        <v>8</v>
      </c>
    </row>
    <row r="1207" spans="1:6" x14ac:dyDescent="0.25">
      <c r="A1207" t="s">
        <v>1537</v>
      </c>
      <c r="B1207">
        <v>1.218091</v>
      </c>
      <c r="C1207">
        <v>-106.69799999999999</v>
      </c>
      <c r="D1207">
        <v>-132.22499999999999</v>
      </c>
      <c r="E1207">
        <v>0.622448</v>
      </c>
      <c r="F1207" t="s">
        <v>201</v>
      </c>
    </row>
    <row r="1208" spans="1:6" x14ac:dyDescent="0.25">
      <c r="A1208" t="s">
        <v>1538</v>
      </c>
      <c r="B1208">
        <v>1.198658</v>
      </c>
      <c r="C1208">
        <v>-106.69199999999999</v>
      </c>
      <c r="D1208">
        <v>-131.23500000000001</v>
      </c>
      <c r="E1208">
        <v>0.61400299999999997</v>
      </c>
      <c r="F1208" t="s">
        <v>57</v>
      </c>
    </row>
    <row r="1209" spans="1:6" x14ac:dyDescent="0.25">
      <c r="A1209" t="s">
        <v>1539</v>
      </c>
      <c r="B1209">
        <v>1.2547299999999999</v>
      </c>
      <c r="C1209">
        <v>-106.678</v>
      </c>
      <c r="D1209">
        <v>-106.678</v>
      </c>
      <c r="E1209">
        <v>0.64522299999999999</v>
      </c>
      <c r="F1209" t="s">
        <v>16</v>
      </c>
    </row>
    <row r="1210" spans="1:6" x14ac:dyDescent="0.25">
      <c r="A1210" t="s">
        <v>1540</v>
      </c>
      <c r="B1210">
        <v>1.229968</v>
      </c>
      <c r="C1210">
        <v>-106.678</v>
      </c>
      <c r="D1210">
        <v>-131.566</v>
      </c>
      <c r="E1210">
        <v>0.63042799999999999</v>
      </c>
      <c r="F1210" t="s">
        <v>201</v>
      </c>
    </row>
    <row r="1211" spans="1:6" x14ac:dyDescent="0.25">
      <c r="A1211" t="s">
        <v>1541</v>
      </c>
      <c r="B1211">
        <v>1.1923079999999999</v>
      </c>
      <c r="C1211">
        <v>-106.676</v>
      </c>
      <c r="D1211">
        <v>-106.676</v>
      </c>
      <c r="E1211">
        <v>0.61211499999999996</v>
      </c>
      <c r="F1211" t="s">
        <v>140</v>
      </c>
    </row>
    <row r="1212" spans="1:6" x14ac:dyDescent="0.25">
      <c r="A1212" t="s">
        <v>1542</v>
      </c>
      <c r="B1212">
        <v>1.2369779999999999</v>
      </c>
      <c r="C1212">
        <v>-106.667</v>
      </c>
      <c r="D1212">
        <v>-130.791</v>
      </c>
      <c r="E1212">
        <v>0.63738899999999998</v>
      </c>
      <c r="F1212" t="s">
        <v>22</v>
      </c>
    </row>
    <row r="1213" spans="1:6" x14ac:dyDescent="0.25">
      <c r="A1213" t="s">
        <v>1543</v>
      </c>
      <c r="B1213">
        <v>1.2264649999999999</v>
      </c>
      <c r="C1213">
        <v>-106.664</v>
      </c>
      <c r="D1213">
        <v>-131.02500000000001</v>
      </c>
      <c r="E1213">
        <v>0.629942</v>
      </c>
      <c r="F1213" t="s">
        <v>13</v>
      </c>
    </row>
    <row r="1214" spans="1:6" x14ac:dyDescent="0.25">
      <c r="A1214" t="s">
        <v>1544</v>
      </c>
      <c r="B1214">
        <v>1.237503</v>
      </c>
      <c r="C1214">
        <v>-106.664</v>
      </c>
      <c r="D1214">
        <v>-131.44499999999999</v>
      </c>
      <c r="E1214">
        <v>0.63591799999999998</v>
      </c>
      <c r="F1214" t="s">
        <v>13</v>
      </c>
    </row>
    <row r="1215" spans="1:6" x14ac:dyDescent="0.25">
      <c r="A1215" t="s">
        <v>1545</v>
      </c>
      <c r="B1215">
        <v>1.2305710000000001</v>
      </c>
      <c r="C1215">
        <v>-106.661</v>
      </c>
      <c r="D1215">
        <v>-130.11000000000001</v>
      </c>
      <c r="E1215">
        <v>0.62945399999999996</v>
      </c>
      <c r="F1215" t="s">
        <v>211</v>
      </c>
    </row>
    <row r="1216" spans="1:6" x14ac:dyDescent="0.25">
      <c r="A1216" t="s">
        <v>1546</v>
      </c>
      <c r="B1216">
        <v>1.2219</v>
      </c>
      <c r="C1216">
        <v>-106.65</v>
      </c>
      <c r="D1216">
        <v>-130.52000000000001</v>
      </c>
      <c r="E1216">
        <v>0.62749699999999997</v>
      </c>
      <c r="F1216" t="s">
        <v>19</v>
      </c>
    </row>
    <row r="1217" spans="1:6" x14ac:dyDescent="0.25">
      <c r="A1217" t="s">
        <v>1547</v>
      </c>
      <c r="B1217">
        <v>1.2381949999999999</v>
      </c>
      <c r="C1217">
        <v>-106.646</v>
      </c>
      <c r="D1217">
        <v>-130.34100000000001</v>
      </c>
      <c r="E1217">
        <v>0.63510500000000003</v>
      </c>
      <c r="F1217" t="s">
        <v>57</v>
      </c>
    </row>
    <row r="1218" spans="1:6" x14ac:dyDescent="0.25">
      <c r="A1218" t="s">
        <v>1548</v>
      </c>
      <c r="B1218">
        <v>1.2495350000000001</v>
      </c>
      <c r="C1218">
        <v>-106.64</v>
      </c>
      <c r="D1218">
        <v>-131.27799999999999</v>
      </c>
      <c r="E1218">
        <v>0.64234599999999997</v>
      </c>
      <c r="F1218" t="s">
        <v>19</v>
      </c>
    </row>
    <row r="1219" spans="1:6" x14ac:dyDescent="0.25">
      <c r="A1219" t="s">
        <v>1549</v>
      </c>
      <c r="B1219">
        <v>1.2492110000000001</v>
      </c>
      <c r="C1219">
        <v>-106.639</v>
      </c>
      <c r="D1219">
        <v>-106.639</v>
      </c>
      <c r="E1219">
        <v>0.64152699999999996</v>
      </c>
      <c r="F1219" t="s">
        <v>11</v>
      </c>
    </row>
    <row r="1220" spans="1:6" x14ac:dyDescent="0.25">
      <c r="A1220" t="s">
        <v>1550</v>
      </c>
      <c r="B1220">
        <v>1.2339640000000001</v>
      </c>
      <c r="C1220">
        <v>-106.639</v>
      </c>
      <c r="D1220">
        <v>-135.07400000000001</v>
      </c>
      <c r="E1220">
        <v>0.63328399999999996</v>
      </c>
      <c r="F1220" t="s">
        <v>49</v>
      </c>
    </row>
    <row r="1221" spans="1:6" x14ac:dyDescent="0.25">
      <c r="A1221" t="s">
        <v>1551</v>
      </c>
      <c r="B1221">
        <v>1.234993</v>
      </c>
      <c r="C1221">
        <v>-106.63800000000001</v>
      </c>
      <c r="D1221">
        <v>-131.88399999999999</v>
      </c>
      <c r="E1221">
        <v>0.63340300000000005</v>
      </c>
      <c r="F1221" t="s">
        <v>49</v>
      </c>
    </row>
    <row r="1222" spans="1:6" x14ac:dyDescent="0.25">
      <c r="A1222" t="s">
        <v>1552</v>
      </c>
      <c r="B1222">
        <v>1.2416670000000001</v>
      </c>
      <c r="C1222">
        <v>-106.637</v>
      </c>
      <c r="D1222">
        <v>-129.99</v>
      </c>
      <c r="E1222">
        <v>0.63797999999999999</v>
      </c>
      <c r="F1222" t="s">
        <v>11</v>
      </c>
    </row>
    <row r="1223" spans="1:6" x14ac:dyDescent="0.25">
      <c r="A1223" t="s">
        <v>1553</v>
      </c>
      <c r="B1223">
        <v>1.2633179999999999</v>
      </c>
      <c r="C1223">
        <v>-106.63500000000001</v>
      </c>
      <c r="D1223">
        <v>-130.02699999999999</v>
      </c>
      <c r="E1223">
        <v>0.64846999999999999</v>
      </c>
      <c r="F1223" t="s">
        <v>8</v>
      </c>
    </row>
    <row r="1224" spans="1:6" x14ac:dyDescent="0.25">
      <c r="A1224" t="s">
        <v>1554</v>
      </c>
      <c r="B1224">
        <v>1.2119230000000001</v>
      </c>
      <c r="C1224">
        <v>-106.60599999999999</v>
      </c>
      <c r="D1224">
        <v>-134.10400000000001</v>
      </c>
      <c r="E1224">
        <v>0.62494099999999997</v>
      </c>
      <c r="F1224" t="s">
        <v>22</v>
      </c>
    </row>
    <row r="1225" spans="1:6" x14ac:dyDescent="0.25">
      <c r="A1225" t="s">
        <v>1555</v>
      </c>
      <c r="B1225">
        <v>1.3019369999999999</v>
      </c>
      <c r="C1225">
        <v>-106.604</v>
      </c>
      <c r="D1225">
        <v>-129.994</v>
      </c>
      <c r="E1225">
        <v>0.66989699999999996</v>
      </c>
      <c r="F1225" t="s">
        <v>11</v>
      </c>
    </row>
    <row r="1226" spans="1:6" x14ac:dyDescent="0.25">
      <c r="A1226" t="s">
        <v>1556</v>
      </c>
      <c r="B1226">
        <v>1.214348</v>
      </c>
      <c r="C1226">
        <v>-106.581</v>
      </c>
      <c r="D1226">
        <v>-128.77199999999999</v>
      </c>
      <c r="E1226">
        <v>0.62212900000000004</v>
      </c>
      <c r="F1226" t="s">
        <v>57</v>
      </c>
    </row>
    <row r="1227" spans="1:6" x14ac:dyDescent="0.25">
      <c r="A1227" t="s">
        <v>1557</v>
      </c>
      <c r="B1227">
        <v>1.245357</v>
      </c>
      <c r="C1227">
        <v>-106.577</v>
      </c>
      <c r="D1227">
        <v>-130.48599999999999</v>
      </c>
      <c r="E1227">
        <v>0.63938799999999996</v>
      </c>
      <c r="F1227" t="s">
        <v>19</v>
      </c>
    </row>
    <row r="1228" spans="1:6" x14ac:dyDescent="0.25">
      <c r="A1228" t="s">
        <v>1558</v>
      </c>
      <c r="B1228">
        <v>1.223174</v>
      </c>
      <c r="C1228">
        <v>-106.56399999999999</v>
      </c>
      <c r="D1228">
        <v>-130.714</v>
      </c>
      <c r="E1228">
        <v>0.62820900000000002</v>
      </c>
      <c r="F1228" t="s">
        <v>57</v>
      </c>
    </row>
    <row r="1229" spans="1:6" x14ac:dyDescent="0.25">
      <c r="A1229" t="s">
        <v>1559</v>
      </c>
      <c r="B1229">
        <v>1.293085</v>
      </c>
      <c r="C1229">
        <v>-106.562</v>
      </c>
      <c r="D1229">
        <v>-128.661</v>
      </c>
      <c r="E1229">
        <v>0.66169900000000004</v>
      </c>
      <c r="F1229" t="s">
        <v>26</v>
      </c>
    </row>
    <row r="1230" spans="1:6" x14ac:dyDescent="0.25">
      <c r="A1230" t="s">
        <v>1560</v>
      </c>
      <c r="B1230">
        <v>1.2363649999999999</v>
      </c>
      <c r="C1230">
        <v>-106.56100000000001</v>
      </c>
      <c r="D1230">
        <v>-131.39400000000001</v>
      </c>
      <c r="E1230">
        <v>0.63265899999999997</v>
      </c>
      <c r="F1230" t="s">
        <v>49</v>
      </c>
    </row>
    <row r="1231" spans="1:6" x14ac:dyDescent="0.25">
      <c r="A1231" t="s">
        <v>1561</v>
      </c>
      <c r="B1231">
        <v>1.236753</v>
      </c>
      <c r="C1231">
        <v>-106.553</v>
      </c>
      <c r="D1231">
        <v>-130.21100000000001</v>
      </c>
      <c r="E1231">
        <v>0.63483299999999998</v>
      </c>
      <c r="F1231" t="s">
        <v>11</v>
      </c>
    </row>
    <row r="1232" spans="1:6" x14ac:dyDescent="0.25">
      <c r="A1232" t="s">
        <v>1562</v>
      </c>
      <c r="B1232">
        <v>1.2481390000000001</v>
      </c>
      <c r="C1232">
        <v>-106.54900000000001</v>
      </c>
      <c r="D1232">
        <v>-130.911</v>
      </c>
      <c r="E1232">
        <v>0.64069600000000004</v>
      </c>
      <c r="F1232" t="s">
        <v>57</v>
      </c>
    </row>
    <row r="1233" spans="1:6" x14ac:dyDescent="0.25">
      <c r="A1233" t="s">
        <v>1563</v>
      </c>
      <c r="B1233">
        <v>1.2604040000000001</v>
      </c>
      <c r="C1233">
        <v>-106.547</v>
      </c>
      <c r="D1233">
        <v>-130.24700000000001</v>
      </c>
      <c r="E1233">
        <v>0.64472799999999997</v>
      </c>
      <c r="F1233" t="s">
        <v>11</v>
      </c>
    </row>
    <row r="1234" spans="1:6" x14ac:dyDescent="0.25">
      <c r="A1234" t="s">
        <v>1564</v>
      </c>
      <c r="B1234">
        <v>1.24315</v>
      </c>
      <c r="C1234">
        <v>-106.535</v>
      </c>
      <c r="D1234">
        <v>-130.916</v>
      </c>
      <c r="E1234">
        <v>0.64156999999999997</v>
      </c>
      <c r="F1234" t="s">
        <v>19</v>
      </c>
    </row>
    <row r="1235" spans="1:6" x14ac:dyDescent="0.25">
      <c r="A1235" t="s">
        <v>1565</v>
      </c>
      <c r="B1235">
        <v>1.1952700000000001</v>
      </c>
      <c r="C1235">
        <v>-106.532</v>
      </c>
      <c r="D1235">
        <v>-106.532</v>
      </c>
      <c r="E1235">
        <v>0.61064200000000002</v>
      </c>
      <c r="F1235" t="s">
        <v>13</v>
      </c>
    </row>
    <row r="1236" spans="1:6" x14ac:dyDescent="0.25">
      <c r="A1236" t="s">
        <v>1566</v>
      </c>
      <c r="B1236">
        <v>1.249593</v>
      </c>
      <c r="C1236">
        <v>-106.529</v>
      </c>
      <c r="D1236">
        <v>-130.45400000000001</v>
      </c>
      <c r="E1236">
        <v>0.64112100000000005</v>
      </c>
      <c r="F1236" t="s">
        <v>13</v>
      </c>
    </row>
    <row r="1237" spans="1:6" x14ac:dyDescent="0.25">
      <c r="A1237" t="s">
        <v>1567</v>
      </c>
      <c r="B1237">
        <v>1.228224</v>
      </c>
      <c r="C1237">
        <v>-106.529</v>
      </c>
      <c r="D1237">
        <v>-131.16800000000001</v>
      </c>
      <c r="E1237">
        <v>0.629386</v>
      </c>
      <c r="F1237" t="s">
        <v>13</v>
      </c>
    </row>
    <row r="1238" spans="1:6" x14ac:dyDescent="0.25">
      <c r="A1238" t="s">
        <v>1568</v>
      </c>
      <c r="B1238">
        <v>1.1853100000000001</v>
      </c>
      <c r="C1238">
        <v>-106.524</v>
      </c>
      <c r="D1238">
        <v>-131.089</v>
      </c>
      <c r="E1238">
        <v>0.60739600000000005</v>
      </c>
      <c r="F1238" t="s">
        <v>49</v>
      </c>
    </row>
    <row r="1239" spans="1:6" x14ac:dyDescent="0.25">
      <c r="A1239" t="s">
        <v>1569</v>
      </c>
      <c r="B1239" t="s">
        <v>1570</v>
      </c>
      <c r="C1239">
        <f>-106.506 -117.389</f>
        <v>-223.89499999999998</v>
      </c>
      <c r="D1239">
        <f>-130.187 -141.068</f>
        <v>-271.255</v>
      </c>
      <c r="E1239" t="s">
        <v>1571</v>
      </c>
      <c r="F1239" t="s">
        <v>31</v>
      </c>
    </row>
    <row r="1240" spans="1:6" x14ac:dyDescent="0.25">
      <c r="A1240" t="s">
        <v>1572</v>
      </c>
      <c r="B1240">
        <v>1.220221</v>
      </c>
      <c r="C1240">
        <v>-106.503</v>
      </c>
      <c r="D1240">
        <v>-106.503</v>
      </c>
      <c r="E1240">
        <v>0.62743899999999997</v>
      </c>
      <c r="F1240" t="s">
        <v>16</v>
      </c>
    </row>
    <row r="1241" spans="1:6" x14ac:dyDescent="0.25">
      <c r="A1241" t="s">
        <v>1573</v>
      </c>
      <c r="B1241">
        <v>1.1884330000000001</v>
      </c>
      <c r="C1241">
        <v>-106.496</v>
      </c>
      <c r="D1241">
        <v>-132.298</v>
      </c>
      <c r="E1241">
        <v>0.60868</v>
      </c>
      <c r="F1241" t="s">
        <v>49</v>
      </c>
    </row>
    <row r="1242" spans="1:6" x14ac:dyDescent="0.25">
      <c r="A1242" t="s">
        <v>1574</v>
      </c>
      <c r="B1242" t="s">
        <v>1575</v>
      </c>
      <c r="C1242">
        <f>-106.493 -111.856</f>
        <v>-218.34899999999999</v>
      </c>
      <c r="D1242">
        <f>-130.535 -134.444</f>
        <v>-264.97899999999998</v>
      </c>
      <c r="E1242" t="s">
        <v>1576</v>
      </c>
      <c r="F1242" t="s">
        <v>87</v>
      </c>
    </row>
    <row r="1243" spans="1:6" x14ac:dyDescent="0.25">
      <c r="A1243" t="s">
        <v>1577</v>
      </c>
      <c r="B1243">
        <v>1.261738</v>
      </c>
      <c r="C1243">
        <v>-106.47499999999999</v>
      </c>
      <c r="D1243">
        <v>-106.47499999999999</v>
      </c>
      <c r="E1243">
        <v>0.649621</v>
      </c>
      <c r="F1243" t="s">
        <v>8</v>
      </c>
    </row>
    <row r="1244" spans="1:6" x14ac:dyDescent="0.25">
      <c r="A1244" t="s">
        <v>1578</v>
      </c>
      <c r="B1244">
        <v>1.2242839999999999</v>
      </c>
      <c r="C1244">
        <v>-106.467</v>
      </c>
      <c r="D1244">
        <v>-135.03399999999999</v>
      </c>
      <c r="E1244">
        <v>0.62972899999999998</v>
      </c>
      <c r="F1244" t="s">
        <v>124</v>
      </c>
    </row>
    <row r="1245" spans="1:6" x14ac:dyDescent="0.25">
      <c r="A1245" t="s">
        <v>1579</v>
      </c>
      <c r="B1245">
        <v>1.268356</v>
      </c>
      <c r="C1245">
        <v>-106.449</v>
      </c>
      <c r="D1245">
        <v>-129.47499999999999</v>
      </c>
      <c r="E1245">
        <v>0.649787</v>
      </c>
      <c r="F1245" t="s">
        <v>26</v>
      </c>
    </row>
    <row r="1246" spans="1:6" x14ac:dyDescent="0.25">
      <c r="A1246" t="s">
        <v>1580</v>
      </c>
      <c r="B1246">
        <v>1.253226</v>
      </c>
      <c r="C1246">
        <v>-106.447</v>
      </c>
      <c r="D1246">
        <v>-147.19900000000001</v>
      </c>
      <c r="E1246">
        <v>0.647096</v>
      </c>
      <c r="F1246" t="s">
        <v>69</v>
      </c>
    </row>
    <row r="1247" spans="1:6" x14ac:dyDescent="0.25">
      <c r="A1247" t="s">
        <v>1581</v>
      </c>
      <c r="B1247">
        <v>1.230159</v>
      </c>
      <c r="C1247">
        <v>-106.447</v>
      </c>
      <c r="D1247">
        <v>-131.404</v>
      </c>
      <c r="E1247">
        <v>0.63211399999999995</v>
      </c>
      <c r="F1247" t="s">
        <v>11</v>
      </c>
    </row>
    <row r="1248" spans="1:6" x14ac:dyDescent="0.25">
      <c r="A1248" t="s">
        <v>1582</v>
      </c>
      <c r="B1248">
        <v>1.2103489999999999</v>
      </c>
      <c r="C1248">
        <v>-106.44499999999999</v>
      </c>
      <c r="D1248">
        <v>-131.34100000000001</v>
      </c>
      <c r="E1248">
        <v>0.62067899999999998</v>
      </c>
      <c r="F1248" t="s">
        <v>13</v>
      </c>
    </row>
    <row r="1249" spans="1:6" x14ac:dyDescent="0.25">
      <c r="A1249" t="s">
        <v>1583</v>
      </c>
      <c r="B1249">
        <v>1.2024090000000001</v>
      </c>
      <c r="C1249">
        <v>-106.444</v>
      </c>
      <c r="D1249">
        <v>-132.58099999999999</v>
      </c>
      <c r="E1249">
        <v>0.61514899999999995</v>
      </c>
      <c r="F1249" t="s">
        <v>11</v>
      </c>
    </row>
    <row r="1250" spans="1:6" x14ac:dyDescent="0.25">
      <c r="A1250" t="s">
        <v>1584</v>
      </c>
      <c r="B1250">
        <v>1.2400899999999999</v>
      </c>
      <c r="C1250">
        <v>-106.44199999999999</v>
      </c>
      <c r="D1250">
        <v>-130.19800000000001</v>
      </c>
      <c r="E1250">
        <v>0.63749999999999996</v>
      </c>
      <c r="F1250" t="s">
        <v>57</v>
      </c>
    </row>
    <row r="1251" spans="1:6" x14ac:dyDescent="0.25">
      <c r="A1251" t="s">
        <v>1585</v>
      </c>
      <c r="B1251">
        <v>1.2489459999999999</v>
      </c>
      <c r="C1251">
        <v>-106.437</v>
      </c>
      <c r="D1251">
        <v>-130.09399999999999</v>
      </c>
      <c r="E1251">
        <v>0.63874200000000003</v>
      </c>
      <c r="F1251" t="s">
        <v>49</v>
      </c>
    </row>
    <row r="1252" spans="1:6" x14ac:dyDescent="0.25">
      <c r="A1252" t="s">
        <v>1586</v>
      </c>
      <c r="B1252">
        <v>1.2127399999999999</v>
      </c>
      <c r="C1252">
        <v>-106.428</v>
      </c>
      <c r="D1252">
        <v>-130.62700000000001</v>
      </c>
      <c r="E1252">
        <v>0.62249699999999997</v>
      </c>
      <c r="F1252" t="s">
        <v>1246</v>
      </c>
    </row>
    <row r="1253" spans="1:6" x14ac:dyDescent="0.25">
      <c r="A1253" t="s">
        <v>1587</v>
      </c>
      <c r="B1253" t="s">
        <v>1588</v>
      </c>
      <c r="C1253">
        <f>-106.422 -112.238</f>
        <v>-218.66</v>
      </c>
      <c r="D1253">
        <f>-106.422 -140.465</f>
        <v>-246.887</v>
      </c>
      <c r="E1253" t="s">
        <v>1589</v>
      </c>
      <c r="F1253" t="s">
        <v>888</v>
      </c>
    </row>
    <row r="1254" spans="1:6" x14ac:dyDescent="0.25">
      <c r="A1254" t="s">
        <v>1590</v>
      </c>
      <c r="B1254">
        <v>1.2471220000000001</v>
      </c>
      <c r="C1254">
        <v>-106.419</v>
      </c>
      <c r="D1254">
        <v>-130.529</v>
      </c>
      <c r="E1254">
        <v>0.63871100000000003</v>
      </c>
      <c r="F1254" t="s">
        <v>49</v>
      </c>
    </row>
    <row r="1255" spans="1:6" x14ac:dyDescent="0.25">
      <c r="A1255" t="s">
        <v>1591</v>
      </c>
      <c r="B1255">
        <v>1.2604150000000001</v>
      </c>
      <c r="C1255">
        <v>-106.413</v>
      </c>
      <c r="D1255">
        <v>-106.413</v>
      </c>
      <c r="E1255">
        <v>0.64827100000000004</v>
      </c>
      <c r="F1255" t="s">
        <v>16</v>
      </c>
    </row>
    <row r="1256" spans="1:6" x14ac:dyDescent="0.25">
      <c r="A1256" t="s">
        <v>1592</v>
      </c>
      <c r="B1256">
        <v>1.20139</v>
      </c>
      <c r="C1256">
        <v>-106.41200000000001</v>
      </c>
      <c r="D1256">
        <v>-135.24199999999999</v>
      </c>
      <c r="E1256">
        <v>0.61370100000000005</v>
      </c>
      <c r="F1256" t="s">
        <v>1593</v>
      </c>
    </row>
    <row r="1257" spans="1:6" x14ac:dyDescent="0.25">
      <c r="A1257" t="s">
        <v>1594</v>
      </c>
      <c r="B1257">
        <v>1.2009160000000001</v>
      </c>
      <c r="C1257">
        <v>-106.41200000000001</v>
      </c>
      <c r="D1257">
        <v>-148.411</v>
      </c>
      <c r="E1257">
        <v>0.61822299999999997</v>
      </c>
      <c r="F1257" t="s">
        <v>591</v>
      </c>
    </row>
    <row r="1258" spans="1:6" x14ac:dyDescent="0.25">
      <c r="A1258" t="s">
        <v>1595</v>
      </c>
      <c r="B1258">
        <v>1.211919</v>
      </c>
      <c r="C1258">
        <v>-106.401</v>
      </c>
      <c r="D1258">
        <v>-129.13800000000001</v>
      </c>
      <c r="E1258">
        <v>0.61860300000000001</v>
      </c>
      <c r="F1258" t="s">
        <v>201</v>
      </c>
    </row>
    <row r="1259" spans="1:6" x14ac:dyDescent="0.25">
      <c r="A1259" t="s">
        <v>1596</v>
      </c>
      <c r="B1259" t="s">
        <v>1597</v>
      </c>
      <c r="C1259">
        <f>-106.401 -119.3</f>
        <v>-225.70099999999999</v>
      </c>
      <c r="D1259">
        <f>-131.141 -142.529</f>
        <v>-273.66999999999996</v>
      </c>
      <c r="E1259" t="s">
        <v>1598</v>
      </c>
      <c r="F1259" t="s">
        <v>87</v>
      </c>
    </row>
    <row r="1260" spans="1:6" x14ac:dyDescent="0.25">
      <c r="A1260" t="s">
        <v>1599</v>
      </c>
      <c r="B1260">
        <v>1.2603059999999999</v>
      </c>
      <c r="C1260">
        <v>-106.401</v>
      </c>
      <c r="D1260">
        <v>-130.922</v>
      </c>
      <c r="E1260">
        <v>0.64720800000000001</v>
      </c>
      <c r="F1260" t="s">
        <v>13</v>
      </c>
    </row>
    <row r="1261" spans="1:6" x14ac:dyDescent="0.25">
      <c r="A1261" t="s">
        <v>1600</v>
      </c>
      <c r="B1261">
        <v>1.2324440000000001</v>
      </c>
      <c r="C1261">
        <v>-106.39400000000001</v>
      </c>
      <c r="D1261">
        <v>-129.33199999999999</v>
      </c>
      <c r="E1261">
        <v>0.63209300000000002</v>
      </c>
      <c r="F1261" t="s">
        <v>26</v>
      </c>
    </row>
    <row r="1262" spans="1:6" x14ac:dyDescent="0.25">
      <c r="A1262" t="s">
        <v>1601</v>
      </c>
      <c r="B1262">
        <v>1.228135</v>
      </c>
      <c r="C1262">
        <v>-106.393</v>
      </c>
      <c r="D1262">
        <v>-106.393</v>
      </c>
      <c r="E1262">
        <v>0.62871500000000002</v>
      </c>
      <c r="F1262" t="s">
        <v>211</v>
      </c>
    </row>
    <row r="1263" spans="1:6" x14ac:dyDescent="0.25">
      <c r="A1263" t="s">
        <v>1602</v>
      </c>
      <c r="B1263">
        <v>1.1906559999999999</v>
      </c>
      <c r="C1263">
        <v>-106.392</v>
      </c>
      <c r="D1263">
        <v>-131.262</v>
      </c>
      <c r="E1263">
        <v>0.61117900000000003</v>
      </c>
      <c r="F1263" t="s">
        <v>8</v>
      </c>
    </row>
    <row r="1264" spans="1:6" x14ac:dyDescent="0.25">
      <c r="A1264" t="s">
        <v>1603</v>
      </c>
      <c r="B1264">
        <v>1.2411749999999999</v>
      </c>
      <c r="C1264">
        <v>-106.386</v>
      </c>
      <c r="D1264">
        <v>-130.374</v>
      </c>
      <c r="E1264">
        <v>0.63638700000000004</v>
      </c>
      <c r="F1264" t="s">
        <v>26</v>
      </c>
    </row>
    <row r="1265" spans="1:6" x14ac:dyDescent="0.25">
      <c r="A1265" t="s">
        <v>1604</v>
      </c>
      <c r="B1265">
        <v>1.262151</v>
      </c>
      <c r="C1265">
        <v>-106.383</v>
      </c>
      <c r="D1265">
        <v>-129.87299999999999</v>
      </c>
      <c r="E1265">
        <v>0.64835799999999999</v>
      </c>
      <c r="F1265" t="s">
        <v>8</v>
      </c>
    </row>
    <row r="1266" spans="1:6" x14ac:dyDescent="0.25">
      <c r="A1266" t="s">
        <v>1605</v>
      </c>
      <c r="B1266">
        <v>1.2336480000000001</v>
      </c>
      <c r="C1266">
        <v>-106.381</v>
      </c>
      <c r="D1266">
        <v>-106.381</v>
      </c>
      <c r="E1266">
        <v>0.63363000000000003</v>
      </c>
      <c r="F1266" t="s">
        <v>755</v>
      </c>
    </row>
    <row r="1267" spans="1:6" x14ac:dyDescent="0.25">
      <c r="A1267" t="s">
        <v>1606</v>
      </c>
      <c r="B1267">
        <v>1.279852</v>
      </c>
      <c r="C1267">
        <v>-106.372</v>
      </c>
      <c r="D1267">
        <v>-131.53100000000001</v>
      </c>
      <c r="E1267">
        <v>0.65674299999999997</v>
      </c>
      <c r="F1267" t="s">
        <v>144</v>
      </c>
    </row>
    <row r="1268" spans="1:6" x14ac:dyDescent="0.25">
      <c r="A1268" t="s">
        <v>1607</v>
      </c>
      <c r="B1268" t="s">
        <v>1608</v>
      </c>
      <c r="C1268">
        <f>-106.366 -122.532</f>
        <v>-228.898</v>
      </c>
      <c r="D1268">
        <f>-130.837 -144.517</f>
        <v>-275.35399999999998</v>
      </c>
      <c r="E1268" t="s">
        <v>1609</v>
      </c>
      <c r="F1268" t="s">
        <v>220</v>
      </c>
    </row>
    <row r="1269" spans="1:6" x14ac:dyDescent="0.25">
      <c r="A1269" t="s">
        <v>1610</v>
      </c>
      <c r="B1269" t="s">
        <v>1611</v>
      </c>
      <c r="C1269">
        <f>-106.358 -109.892</f>
        <v>-216.25</v>
      </c>
      <c r="D1269">
        <f>-130.7 -133.314</f>
        <v>-264.01400000000001</v>
      </c>
      <c r="E1269" t="s">
        <v>1612</v>
      </c>
      <c r="F1269" t="s">
        <v>1005</v>
      </c>
    </row>
    <row r="1270" spans="1:6" x14ac:dyDescent="0.25">
      <c r="A1270" t="s">
        <v>1613</v>
      </c>
      <c r="B1270">
        <v>1.249161</v>
      </c>
      <c r="C1270">
        <v>-106.354</v>
      </c>
      <c r="D1270">
        <v>-130.828</v>
      </c>
      <c r="E1270">
        <v>0.63806399999999996</v>
      </c>
      <c r="F1270" t="s">
        <v>57</v>
      </c>
    </row>
    <row r="1271" spans="1:6" x14ac:dyDescent="0.25">
      <c r="A1271" t="s">
        <v>1614</v>
      </c>
      <c r="B1271">
        <v>1.2351179999999999</v>
      </c>
      <c r="C1271">
        <v>-106.352</v>
      </c>
      <c r="D1271">
        <v>-106.352</v>
      </c>
      <c r="E1271">
        <v>0.63312599999999997</v>
      </c>
      <c r="F1271" t="s">
        <v>13</v>
      </c>
    </row>
    <row r="1272" spans="1:6" x14ac:dyDescent="0.25">
      <c r="A1272" t="s">
        <v>1615</v>
      </c>
      <c r="B1272">
        <v>1.2371369999999999</v>
      </c>
      <c r="C1272">
        <v>-106.349</v>
      </c>
      <c r="D1272">
        <v>-130.28800000000001</v>
      </c>
      <c r="E1272">
        <v>0.63410200000000005</v>
      </c>
      <c r="F1272" t="s">
        <v>24</v>
      </c>
    </row>
    <row r="1273" spans="1:6" x14ac:dyDescent="0.25">
      <c r="A1273" t="s">
        <v>1616</v>
      </c>
      <c r="B1273">
        <v>1.223929</v>
      </c>
      <c r="C1273">
        <v>-106.346</v>
      </c>
      <c r="D1273">
        <v>-129.23400000000001</v>
      </c>
      <c r="E1273">
        <v>0.62940399999999996</v>
      </c>
      <c r="F1273" t="s">
        <v>16</v>
      </c>
    </row>
    <row r="1274" spans="1:6" x14ac:dyDescent="0.25">
      <c r="A1274" t="s">
        <v>1617</v>
      </c>
      <c r="B1274">
        <v>1.2491969999999999</v>
      </c>
      <c r="C1274">
        <v>-106.331</v>
      </c>
      <c r="D1274">
        <v>-128.274</v>
      </c>
      <c r="E1274">
        <v>0.63937500000000003</v>
      </c>
      <c r="F1274" t="s">
        <v>57</v>
      </c>
    </row>
    <row r="1275" spans="1:6" x14ac:dyDescent="0.25">
      <c r="A1275" t="s">
        <v>1618</v>
      </c>
      <c r="B1275">
        <v>1.221644</v>
      </c>
      <c r="C1275">
        <v>-106.32</v>
      </c>
      <c r="D1275">
        <v>-131.494</v>
      </c>
      <c r="E1275">
        <v>0.62770899999999996</v>
      </c>
      <c r="F1275" t="s">
        <v>13</v>
      </c>
    </row>
    <row r="1276" spans="1:6" x14ac:dyDescent="0.25">
      <c r="A1276" t="s">
        <v>1619</v>
      </c>
      <c r="B1276">
        <v>1.228963</v>
      </c>
      <c r="C1276">
        <v>-106.316</v>
      </c>
      <c r="D1276">
        <v>-139.602</v>
      </c>
      <c r="E1276">
        <v>0.63152399999999997</v>
      </c>
      <c r="F1276" t="s">
        <v>13</v>
      </c>
    </row>
    <row r="1277" spans="1:6" x14ac:dyDescent="0.25">
      <c r="A1277" t="s">
        <v>1620</v>
      </c>
      <c r="B1277">
        <v>1.2514380000000001</v>
      </c>
      <c r="C1277">
        <v>-106.31</v>
      </c>
      <c r="D1277">
        <v>-134.334</v>
      </c>
      <c r="E1277">
        <v>0.640432</v>
      </c>
      <c r="F1277" t="s">
        <v>24</v>
      </c>
    </row>
    <row r="1278" spans="1:6" x14ac:dyDescent="0.25">
      <c r="A1278" t="s">
        <v>1621</v>
      </c>
      <c r="B1278">
        <v>1.2097979999999999</v>
      </c>
      <c r="C1278">
        <v>-106.307</v>
      </c>
      <c r="D1278">
        <v>-131.13999999999999</v>
      </c>
      <c r="E1278">
        <v>0.62000100000000002</v>
      </c>
      <c r="F1278" t="s">
        <v>19</v>
      </c>
    </row>
    <row r="1279" spans="1:6" x14ac:dyDescent="0.25">
      <c r="A1279" t="s">
        <v>1622</v>
      </c>
      <c r="B1279">
        <v>1.25712</v>
      </c>
      <c r="C1279">
        <v>-106.306</v>
      </c>
      <c r="D1279">
        <v>-131.441</v>
      </c>
      <c r="E1279">
        <v>0.64424599999999999</v>
      </c>
      <c r="F1279" t="s">
        <v>22</v>
      </c>
    </row>
    <row r="1280" spans="1:6" x14ac:dyDescent="0.25">
      <c r="A1280" t="s">
        <v>1623</v>
      </c>
      <c r="B1280">
        <v>1.2207570000000001</v>
      </c>
      <c r="C1280">
        <v>-106.303</v>
      </c>
      <c r="D1280">
        <v>-131.71</v>
      </c>
      <c r="E1280">
        <v>0.62660000000000005</v>
      </c>
      <c r="F1280" t="s">
        <v>194</v>
      </c>
    </row>
    <row r="1281" spans="1:6" x14ac:dyDescent="0.25">
      <c r="A1281" t="s">
        <v>1624</v>
      </c>
      <c r="B1281">
        <v>1.2395229999999999</v>
      </c>
      <c r="C1281">
        <v>-106.301</v>
      </c>
      <c r="D1281">
        <v>-130.19399999999999</v>
      </c>
      <c r="E1281">
        <v>0.63605599999999995</v>
      </c>
      <c r="F1281" t="s">
        <v>24</v>
      </c>
    </row>
    <row r="1282" spans="1:6" x14ac:dyDescent="0.25">
      <c r="A1282" t="s">
        <v>1625</v>
      </c>
      <c r="B1282">
        <v>1.268715</v>
      </c>
      <c r="C1282">
        <v>-106.29900000000001</v>
      </c>
      <c r="D1282">
        <v>-131.54300000000001</v>
      </c>
      <c r="E1282">
        <v>0.65347200000000005</v>
      </c>
      <c r="F1282" t="s">
        <v>144</v>
      </c>
    </row>
    <row r="1283" spans="1:6" x14ac:dyDescent="0.25">
      <c r="A1283" t="s">
        <v>1626</v>
      </c>
      <c r="B1283">
        <v>1.2072929999999999</v>
      </c>
      <c r="C1283">
        <v>-106.29900000000001</v>
      </c>
      <c r="D1283">
        <v>-130.98400000000001</v>
      </c>
      <c r="E1283">
        <v>0.61940700000000004</v>
      </c>
      <c r="F1283" t="s">
        <v>22</v>
      </c>
    </row>
    <row r="1284" spans="1:6" x14ac:dyDescent="0.25">
      <c r="A1284" t="s">
        <v>1627</v>
      </c>
      <c r="B1284" t="s">
        <v>1628</v>
      </c>
      <c r="C1284">
        <f>-106.294 -112.681</f>
        <v>-218.97499999999999</v>
      </c>
      <c r="D1284">
        <f>-130.022 -135.861</f>
        <v>-265.88299999999998</v>
      </c>
      <c r="E1284" t="s">
        <v>1629</v>
      </c>
      <c r="F1284" t="s">
        <v>37</v>
      </c>
    </row>
    <row r="1285" spans="1:6" x14ac:dyDescent="0.25">
      <c r="A1285" t="s">
        <v>1630</v>
      </c>
      <c r="B1285">
        <v>1.2086129999999999</v>
      </c>
      <c r="C1285">
        <v>-106.291</v>
      </c>
      <c r="D1285">
        <v>-131.90899999999999</v>
      </c>
      <c r="E1285">
        <v>0.62167300000000003</v>
      </c>
      <c r="F1285" t="s">
        <v>246</v>
      </c>
    </row>
    <row r="1286" spans="1:6" x14ac:dyDescent="0.25">
      <c r="A1286" t="s">
        <v>1631</v>
      </c>
      <c r="B1286">
        <v>1.3040080000000001</v>
      </c>
      <c r="C1286">
        <v>-106.291</v>
      </c>
      <c r="D1286">
        <v>-129.11500000000001</v>
      </c>
      <c r="E1286">
        <v>0.67109200000000002</v>
      </c>
      <c r="F1286" t="s">
        <v>24</v>
      </c>
    </row>
    <row r="1287" spans="1:6" x14ac:dyDescent="0.25">
      <c r="A1287" t="s">
        <v>1632</v>
      </c>
      <c r="B1287">
        <v>1.3063940000000001</v>
      </c>
      <c r="C1287">
        <v>-106.283</v>
      </c>
      <c r="D1287">
        <v>-130.733</v>
      </c>
      <c r="E1287">
        <v>0.67270700000000005</v>
      </c>
      <c r="F1287" t="s">
        <v>591</v>
      </c>
    </row>
    <row r="1288" spans="1:6" x14ac:dyDescent="0.25">
      <c r="A1288" t="s">
        <v>1633</v>
      </c>
      <c r="B1288">
        <v>1.241212</v>
      </c>
      <c r="C1288">
        <v>-106.262</v>
      </c>
      <c r="D1288">
        <v>-129.30099999999999</v>
      </c>
      <c r="E1288">
        <v>0.63702800000000004</v>
      </c>
      <c r="F1288" t="s">
        <v>26</v>
      </c>
    </row>
    <row r="1289" spans="1:6" x14ac:dyDescent="0.25">
      <c r="A1289" t="s">
        <v>1634</v>
      </c>
      <c r="B1289">
        <v>1.201217</v>
      </c>
      <c r="C1289">
        <v>-106.25</v>
      </c>
      <c r="D1289">
        <v>-130.595</v>
      </c>
      <c r="E1289">
        <v>0.61699700000000002</v>
      </c>
      <c r="F1289" t="s">
        <v>8</v>
      </c>
    </row>
    <row r="1290" spans="1:6" x14ac:dyDescent="0.25">
      <c r="A1290" t="s">
        <v>1635</v>
      </c>
      <c r="B1290">
        <v>1.257231</v>
      </c>
      <c r="C1290">
        <v>-106.247</v>
      </c>
      <c r="D1290">
        <v>-131.20099999999999</v>
      </c>
      <c r="E1290">
        <v>0.64430799999999999</v>
      </c>
      <c r="F1290" t="s">
        <v>57</v>
      </c>
    </row>
    <row r="1291" spans="1:6" x14ac:dyDescent="0.25">
      <c r="A1291" t="s">
        <v>1636</v>
      </c>
      <c r="B1291" t="s">
        <v>1637</v>
      </c>
      <c r="C1291">
        <f>-106.235 -109.71</f>
        <v>-215.94499999999999</v>
      </c>
      <c r="D1291">
        <f>-132.15 -133.811</f>
        <v>-265.96100000000001</v>
      </c>
      <c r="E1291" t="s">
        <v>1638</v>
      </c>
      <c r="F1291" t="s">
        <v>1639</v>
      </c>
    </row>
    <row r="1292" spans="1:6" x14ac:dyDescent="0.25">
      <c r="A1292" t="s">
        <v>1640</v>
      </c>
      <c r="B1292">
        <v>1.213625</v>
      </c>
      <c r="C1292">
        <v>-106.23399999999999</v>
      </c>
      <c r="D1292">
        <v>-131.13800000000001</v>
      </c>
      <c r="E1292">
        <v>0.62468199999999996</v>
      </c>
      <c r="F1292" t="s">
        <v>140</v>
      </c>
    </row>
    <row r="1293" spans="1:6" x14ac:dyDescent="0.25">
      <c r="A1293" t="s">
        <v>1641</v>
      </c>
      <c r="B1293" t="s">
        <v>1642</v>
      </c>
      <c r="C1293">
        <f>-106.232 -106.339</f>
        <v>-212.571</v>
      </c>
      <c r="D1293">
        <f>-129.975 -131.111</f>
        <v>-261.08600000000001</v>
      </c>
      <c r="E1293" t="s">
        <v>1643</v>
      </c>
      <c r="F1293" t="s">
        <v>37</v>
      </c>
    </row>
    <row r="1294" spans="1:6" x14ac:dyDescent="0.25">
      <c r="A1294" t="s">
        <v>1644</v>
      </c>
      <c r="B1294">
        <v>1.2080880000000001</v>
      </c>
      <c r="C1294">
        <v>-106.232</v>
      </c>
      <c r="D1294">
        <v>-106.232</v>
      </c>
      <c r="E1294">
        <v>0.61853499999999995</v>
      </c>
      <c r="F1294" t="s">
        <v>755</v>
      </c>
    </row>
    <row r="1295" spans="1:6" x14ac:dyDescent="0.25">
      <c r="A1295" t="s">
        <v>1645</v>
      </c>
      <c r="B1295">
        <v>1.215714</v>
      </c>
      <c r="C1295">
        <v>-106.226</v>
      </c>
      <c r="D1295">
        <v>-129.768</v>
      </c>
      <c r="E1295">
        <v>0.62098399999999998</v>
      </c>
      <c r="F1295" t="s">
        <v>24</v>
      </c>
    </row>
    <row r="1296" spans="1:6" x14ac:dyDescent="0.25">
      <c r="A1296" t="s">
        <v>1646</v>
      </c>
      <c r="B1296" t="s">
        <v>1647</v>
      </c>
      <c r="C1296">
        <f>-106.221 -109.375</f>
        <v>-215.596</v>
      </c>
      <c r="D1296">
        <f>-129.652 -132.651</f>
        <v>-262.303</v>
      </c>
      <c r="E1296" t="s">
        <v>1648</v>
      </c>
      <c r="F1296" t="s">
        <v>220</v>
      </c>
    </row>
    <row r="1297" spans="1:6" x14ac:dyDescent="0.25">
      <c r="A1297" t="s">
        <v>1649</v>
      </c>
      <c r="B1297">
        <v>1.2260599999999999</v>
      </c>
      <c r="C1297">
        <v>-106.221</v>
      </c>
      <c r="D1297">
        <v>-132.51400000000001</v>
      </c>
      <c r="E1297">
        <v>0.63007299999999999</v>
      </c>
      <c r="F1297" t="s">
        <v>24</v>
      </c>
    </row>
    <row r="1298" spans="1:6" x14ac:dyDescent="0.25">
      <c r="A1298" t="s">
        <v>1650</v>
      </c>
      <c r="B1298">
        <v>1.2578149999999999</v>
      </c>
      <c r="C1298">
        <v>-106.22</v>
      </c>
      <c r="D1298">
        <v>-128.423</v>
      </c>
      <c r="E1298">
        <v>0.64754900000000004</v>
      </c>
      <c r="F1298" t="s">
        <v>405</v>
      </c>
    </row>
    <row r="1299" spans="1:6" x14ac:dyDescent="0.25">
      <c r="A1299" t="s">
        <v>1651</v>
      </c>
      <c r="B1299">
        <v>1.2296720000000001</v>
      </c>
      <c r="C1299">
        <v>-106.21899999999999</v>
      </c>
      <c r="D1299">
        <v>-129.28</v>
      </c>
      <c r="E1299">
        <v>0.63340300000000005</v>
      </c>
      <c r="F1299" t="s">
        <v>16</v>
      </c>
    </row>
    <row r="1300" spans="1:6" x14ac:dyDescent="0.25">
      <c r="A1300" t="s">
        <v>1652</v>
      </c>
      <c r="B1300">
        <v>1.2771589999999999</v>
      </c>
      <c r="C1300">
        <v>-106.20099999999999</v>
      </c>
      <c r="D1300">
        <v>-131.94300000000001</v>
      </c>
      <c r="E1300">
        <v>0.65740399999999999</v>
      </c>
      <c r="F1300" t="s">
        <v>401</v>
      </c>
    </row>
    <row r="1301" spans="1:6" x14ac:dyDescent="0.25">
      <c r="A1301" t="s">
        <v>1653</v>
      </c>
      <c r="B1301">
        <v>1.2401740000000001</v>
      </c>
      <c r="C1301">
        <v>-106.191</v>
      </c>
      <c r="D1301">
        <v>-131.21199999999999</v>
      </c>
      <c r="E1301">
        <v>0.64003100000000002</v>
      </c>
      <c r="F1301" t="s">
        <v>591</v>
      </c>
    </row>
    <row r="1302" spans="1:6" x14ac:dyDescent="0.25">
      <c r="A1302" t="s">
        <v>1654</v>
      </c>
      <c r="B1302">
        <v>1.180159</v>
      </c>
      <c r="C1302">
        <v>-106.17</v>
      </c>
      <c r="D1302">
        <v>-130.26499999999999</v>
      </c>
      <c r="E1302">
        <v>0.606572</v>
      </c>
      <c r="F1302" t="s">
        <v>24</v>
      </c>
    </row>
    <row r="1303" spans="1:6" x14ac:dyDescent="0.25">
      <c r="A1303" t="s">
        <v>1655</v>
      </c>
      <c r="B1303">
        <v>1.2404280000000001</v>
      </c>
      <c r="C1303">
        <v>-106.169</v>
      </c>
      <c r="D1303">
        <v>-106.169</v>
      </c>
      <c r="E1303">
        <v>0.63448199999999999</v>
      </c>
      <c r="F1303" t="s">
        <v>49</v>
      </c>
    </row>
    <row r="1304" spans="1:6" x14ac:dyDescent="0.25">
      <c r="A1304" t="s">
        <v>1656</v>
      </c>
      <c r="B1304" t="s">
        <v>1657</v>
      </c>
      <c r="C1304">
        <f>-106.157 -113.979</f>
        <v>-220.136</v>
      </c>
      <c r="D1304">
        <f>-128.585 -136.086</f>
        <v>-264.67100000000005</v>
      </c>
      <c r="E1304" t="s">
        <v>1658</v>
      </c>
      <c r="F1304" t="s">
        <v>1659</v>
      </c>
    </row>
    <row r="1305" spans="1:6" x14ac:dyDescent="0.25">
      <c r="A1305" t="s">
        <v>1660</v>
      </c>
      <c r="B1305" t="s">
        <v>1661</v>
      </c>
      <c r="C1305">
        <f>-106.153 -105.925</f>
        <v>-212.078</v>
      </c>
      <c r="D1305">
        <f>-106.153 -105.925</f>
        <v>-212.078</v>
      </c>
      <c r="E1305" t="s">
        <v>1662</v>
      </c>
      <c r="F1305" t="s">
        <v>1448</v>
      </c>
    </row>
    <row r="1306" spans="1:6" x14ac:dyDescent="0.25">
      <c r="A1306" t="s">
        <v>1663</v>
      </c>
      <c r="B1306">
        <v>1.2518689999999999</v>
      </c>
      <c r="C1306">
        <v>-106.15</v>
      </c>
      <c r="D1306">
        <v>-131.238</v>
      </c>
      <c r="E1306">
        <v>0.64133799999999996</v>
      </c>
      <c r="F1306" t="s">
        <v>19</v>
      </c>
    </row>
    <row r="1307" spans="1:6" x14ac:dyDescent="0.25">
      <c r="A1307" t="s">
        <v>1664</v>
      </c>
      <c r="B1307">
        <v>1.198491</v>
      </c>
      <c r="C1307">
        <v>-106.14700000000001</v>
      </c>
      <c r="D1307">
        <v>-131.83699999999999</v>
      </c>
      <c r="E1307">
        <v>0.61556500000000003</v>
      </c>
      <c r="F1307" t="s">
        <v>262</v>
      </c>
    </row>
    <row r="1308" spans="1:6" x14ac:dyDescent="0.25">
      <c r="A1308" t="s">
        <v>1665</v>
      </c>
      <c r="B1308">
        <v>1.222629</v>
      </c>
      <c r="C1308">
        <v>-106.14100000000001</v>
      </c>
      <c r="D1308">
        <v>-106.14100000000001</v>
      </c>
      <c r="E1308">
        <v>0.62665499999999996</v>
      </c>
      <c r="F1308" t="s">
        <v>169</v>
      </c>
    </row>
    <row r="1309" spans="1:6" x14ac:dyDescent="0.25">
      <c r="A1309" t="s">
        <v>1666</v>
      </c>
      <c r="B1309">
        <v>1.236653</v>
      </c>
      <c r="C1309">
        <v>-106.13800000000001</v>
      </c>
      <c r="D1309">
        <v>-106.13800000000001</v>
      </c>
      <c r="E1309">
        <v>0.63322299999999998</v>
      </c>
      <c r="F1309" t="s">
        <v>22</v>
      </c>
    </row>
    <row r="1310" spans="1:6" x14ac:dyDescent="0.25">
      <c r="A1310" t="s">
        <v>1667</v>
      </c>
      <c r="B1310">
        <v>1.2144109999999999</v>
      </c>
      <c r="C1310">
        <v>-106.137</v>
      </c>
      <c r="D1310">
        <v>-130.57499999999999</v>
      </c>
      <c r="E1310">
        <v>0.62381299999999995</v>
      </c>
      <c r="F1310" t="s">
        <v>8</v>
      </c>
    </row>
    <row r="1311" spans="1:6" x14ac:dyDescent="0.25">
      <c r="A1311" t="s">
        <v>1668</v>
      </c>
      <c r="B1311">
        <v>1.2682549999999999</v>
      </c>
      <c r="C1311">
        <v>-106.13</v>
      </c>
      <c r="D1311">
        <v>-106.13</v>
      </c>
      <c r="E1311">
        <v>0.65359999999999996</v>
      </c>
      <c r="F1311" t="s">
        <v>19</v>
      </c>
    </row>
    <row r="1312" spans="1:6" x14ac:dyDescent="0.25">
      <c r="A1312" t="s">
        <v>1669</v>
      </c>
      <c r="B1312">
        <v>1.2216659999999999</v>
      </c>
      <c r="C1312">
        <v>-106.126</v>
      </c>
      <c r="D1312">
        <v>-106.126</v>
      </c>
      <c r="E1312">
        <v>0.62843099999999996</v>
      </c>
      <c r="F1312" t="s">
        <v>69</v>
      </c>
    </row>
    <row r="1313" spans="1:6" x14ac:dyDescent="0.25">
      <c r="A1313" t="s">
        <v>1670</v>
      </c>
      <c r="B1313">
        <v>1.247333</v>
      </c>
      <c r="C1313">
        <v>-106.125</v>
      </c>
      <c r="D1313">
        <v>-106.125</v>
      </c>
      <c r="E1313">
        <v>0.64263499999999996</v>
      </c>
      <c r="F1313" t="s">
        <v>13</v>
      </c>
    </row>
    <row r="1314" spans="1:6" x14ac:dyDescent="0.25">
      <c r="A1314" t="s">
        <v>1671</v>
      </c>
      <c r="B1314">
        <v>1.2555149999999999</v>
      </c>
      <c r="C1314">
        <v>-106.124</v>
      </c>
      <c r="D1314">
        <v>-130.94900000000001</v>
      </c>
      <c r="E1314">
        <v>0.64403500000000002</v>
      </c>
      <c r="F1314" t="s">
        <v>57</v>
      </c>
    </row>
    <row r="1315" spans="1:6" x14ac:dyDescent="0.25">
      <c r="A1315" t="s">
        <v>1672</v>
      </c>
      <c r="B1315">
        <v>1.2110000000000001</v>
      </c>
      <c r="C1315">
        <v>-106.111</v>
      </c>
      <c r="D1315">
        <v>-130.72</v>
      </c>
      <c r="E1315">
        <v>0.61836400000000002</v>
      </c>
      <c r="F1315" t="s">
        <v>13</v>
      </c>
    </row>
    <row r="1316" spans="1:6" x14ac:dyDescent="0.25">
      <c r="A1316" t="s">
        <v>1673</v>
      </c>
      <c r="B1316">
        <v>1.2212099999999999</v>
      </c>
      <c r="C1316">
        <v>-106.10599999999999</v>
      </c>
      <c r="D1316">
        <v>-106.10599999999999</v>
      </c>
      <c r="E1316">
        <v>0.62667300000000004</v>
      </c>
      <c r="F1316" t="s">
        <v>49</v>
      </c>
    </row>
    <row r="1317" spans="1:6" x14ac:dyDescent="0.25">
      <c r="A1317" t="s">
        <v>1674</v>
      </c>
      <c r="B1317">
        <v>1.223093</v>
      </c>
      <c r="C1317">
        <v>-106.102</v>
      </c>
      <c r="D1317">
        <v>-129.83000000000001</v>
      </c>
      <c r="E1317">
        <v>0.62979399999999996</v>
      </c>
      <c r="F1317" t="s">
        <v>13</v>
      </c>
    </row>
    <row r="1318" spans="1:6" x14ac:dyDescent="0.25">
      <c r="A1318" t="s">
        <v>1675</v>
      </c>
      <c r="B1318">
        <v>1.220531</v>
      </c>
      <c r="C1318">
        <v>-106.093</v>
      </c>
      <c r="D1318">
        <v>-106.093</v>
      </c>
      <c r="E1318">
        <v>0.62812999999999997</v>
      </c>
      <c r="F1318" t="s">
        <v>24</v>
      </c>
    </row>
    <row r="1319" spans="1:6" x14ac:dyDescent="0.25">
      <c r="A1319" t="s">
        <v>1676</v>
      </c>
      <c r="B1319" t="s">
        <v>1677</v>
      </c>
      <c r="C1319">
        <f>-106.086 -111.97</f>
        <v>-218.05599999999998</v>
      </c>
      <c r="D1319">
        <f>-129.387 -135.456</f>
        <v>-264.84299999999996</v>
      </c>
      <c r="E1319" t="s">
        <v>1678</v>
      </c>
      <c r="F1319" t="s">
        <v>94</v>
      </c>
    </row>
    <row r="1320" spans="1:6" x14ac:dyDescent="0.25">
      <c r="A1320" t="s">
        <v>1679</v>
      </c>
      <c r="B1320" t="s">
        <v>1680</v>
      </c>
      <c r="C1320">
        <f>-106.081 -108.052</f>
        <v>-214.13300000000001</v>
      </c>
      <c r="D1320">
        <f>-130.475 -108.052</f>
        <v>-238.52699999999999</v>
      </c>
      <c r="E1320" t="s">
        <v>1681</v>
      </c>
      <c r="F1320" t="s">
        <v>31</v>
      </c>
    </row>
    <row r="1321" spans="1:6" x14ac:dyDescent="0.25">
      <c r="A1321" t="s">
        <v>1682</v>
      </c>
      <c r="B1321">
        <v>1.2318150000000001</v>
      </c>
      <c r="C1321">
        <v>-106.07599999999999</v>
      </c>
      <c r="D1321">
        <v>-129.49</v>
      </c>
      <c r="E1321">
        <v>0.63001499999999999</v>
      </c>
      <c r="F1321" t="s">
        <v>13</v>
      </c>
    </row>
    <row r="1322" spans="1:6" x14ac:dyDescent="0.25">
      <c r="A1322" t="s">
        <v>1683</v>
      </c>
      <c r="B1322">
        <v>1.2167520000000001</v>
      </c>
      <c r="C1322">
        <v>-106.074</v>
      </c>
      <c r="D1322">
        <v>-130.82</v>
      </c>
      <c r="E1322">
        <v>0.62551699999999999</v>
      </c>
      <c r="F1322" t="s">
        <v>13</v>
      </c>
    </row>
    <row r="1323" spans="1:6" x14ac:dyDescent="0.25">
      <c r="A1323" t="s">
        <v>1684</v>
      </c>
      <c r="B1323">
        <v>1.2180390000000001</v>
      </c>
      <c r="C1323">
        <v>-106.06699999999999</v>
      </c>
      <c r="D1323">
        <v>-130.02699999999999</v>
      </c>
      <c r="E1323">
        <v>0.62385299999999999</v>
      </c>
      <c r="F1323" t="s">
        <v>57</v>
      </c>
    </row>
    <row r="1324" spans="1:6" x14ac:dyDescent="0.25">
      <c r="A1324" t="s">
        <v>1685</v>
      </c>
      <c r="B1324">
        <v>1.2286539999999999</v>
      </c>
      <c r="C1324">
        <v>-106.06100000000001</v>
      </c>
      <c r="D1324">
        <v>-131.77799999999999</v>
      </c>
      <c r="E1324">
        <v>0.62928700000000004</v>
      </c>
      <c r="F1324" t="s">
        <v>11</v>
      </c>
    </row>
    <row r="1325" spans="1:6" x14ac:dyDescent="0.25">
      <c r="A1325" t="s">
        <v>1686</v>
      </c>
      <c r="B1325">
        <v>1.238702</v>
      </c>
      <c r="C1325">
        <v>-106.056</v>
      </c>
      <c r="D1325">
        <v>-129.72</v>
      </c>
      <c r="E1325">
        <v>0.63478800000000002</v>
      </c>
      <c r="F1325" t="s">
        <v>57</v>
      </c>
    </row>
    <row r="1326" spans="1:6" x14ac:dyDescent="0.25">
      <c r="A1326" t="s">
        <v>1687</v>
      </c>
      <c r="B1326">
        <v>1.2629699999999999</v>
      </c>
      <c r="C1326">
        <v>-106.053</v>
      </c>
      <c r="D1326">
        <v>-131.18600000000001</v>
      </c>
      <c r="E1326">
        <v>0.650115</v>
      </c>
      <c r="F1326" t="s">
        <v>22</v>
      </c>
    </row>
    <row r="1327" spans="1:6" x14ac:dyDescent="0.25">
      <c r="A1327" t="s">
        <v>1688</v>
      </c>
      <c r="B1327">
        <v>1.239439</v>
      </c>
      <c r="C1327">
        <v>-106.045</v>
      </c>
      <c r="D1327">
        <v>-130.13</v>
      </c>
      <c r="E1327">
        <v>0.63379700000000005</v>
      </c>
      <c r="F1327" t="s">
        <v>201</v>
      </c>
    </row>
    <row r="1328" spans="1:6" x14ac:dyDescent="0.25">
      <c r="A1328" t="s">
        <v>1689</v>
      </c>
      <c r="B1328" t="s">
        <v>1690</v>
      </c>
      <c r="C1328">
        <f>-106.033 -114.965</f>
        <v>-220.99799999999999</v>
      </c>
      <c r="D1328">
        <f>-131.909 -140.742</f>
        <v>-272.65099999999995</v>
      </c>
      <c r="E1328" t="s">
        <v>1691</v>
      </c>
      <c r="F1328" t="s">
        <v>37</v>
      </c>
    </row>
    <row r="1329" spans="1:6" x14ac:dyDescent="0.25">
      <c r="A1329" t="s">
        <v>1692</v>
      </c>
      <c r="B1329">
        <v>1.2286319999999999</v>
      </c>
      <c r="C1329">
        <v>-106.033</v>
      </c>
      <c r="D1329">
        <v>-130.655</v>
      </c>
      <c r="E1329">
        <v>0.63059399999999999</v>
      </c>
      <c r="F1329" t="s">
        <v>57</v>
      </c>
    </row>
    <row r="1330" spans="1:6" x14ac:dyDescent="0.25">
      <c r="A1330" t="s">
        <v>1693</v>
      </c>
      <c r="B1330">
        <v>1.20129</v>
      </c>
      <c r="C1330">
        <v>-106.032</v>
      </c>
      <c r="D1330">
        <v>-106.032</v>
      </c>
      <c r="E1330">
        <v>0.61636400000000002</v>
      </c>
      <c r="F1330" t="s">
        <v>57</v>
      </c>
    </row>
    <row r="1331" spans="1:6" x14ac:dyDescent="0.25">
      <c r="A1331" t="s">
        <v>1694</v>
      </c>
      <c r="B1331">
        <v>1.242764</v>
      </c>
      <c r="C1331">
        <v>-105.995</v>
      </c>
      <c r="D1331">
        <v>-131.423</v>
      </c>
      <c r="E1331">
        <v>0.63789399999999996</v>
      </c>
      <c r="F1331" t="s">
        <v>22</v>
      </c>
    </row>
    <row r="1332" spans="1:6" x14ac:dyDescent="0.25">
      <c r="A1332" t="s">
        <v>1695</v>
      </c>
      <c r="B1332">
        <v>1.1986019999999999</v>
      </c>
      <c r="C1332">
        <v>-105.994</v>
      </c>
      <c r="D1332">
        <v>-130.041</v>
      </c>
      <c r="E1332">
        <v>0.61700900000000003</v>
      </c>
      <c r="F1332" t="s">
        <v>49</v>
      </c>
    </row>
    <row r="1333" spans="1:6" x14ac:dyDescent="0.25">
      <c r="A1333" t="s">
        <v>1696</v>
      </c>
      <c r="B1333">
        <v>1.2431460000000001</v>
      </c>
      <c r="C1333">
        <v>-105.989</v>
      </c>
      <c r="D1333">
        <v>-130.047</v>
      </c>
      <c r="E1333">
        <v>0.63698399999999999</v>
      </c>
      <c r="F1333" t="s">
        <v>124</v>
      </c>
    </row>
    <row r="1334" spans="1:6" x14ac:dyDescent="0.25">
      <c r="A1334" t="s">
        <v>1697</v>
      </c>
      <c r="B1334">
        <v>1.2666850000000001</v>
      </c>
      <c r="C1334">
        <v>-105.98699999999999</v>
      </c>
      <c r="D1334">
        <v>-131.32300000000001</v>
      </c>
      <c r="E1334">
        <v>0.64811700000000005</v>
      </c>
      <c r="F1334" t="s">
        <v>22</v>
      </c>
    </row>
    <row r="1335" spans="1:6" x14ac:dyDescent="0.25">
      <c r="A1335" t="s">
        <v>1698</v>
      </c>
      <c r="B1335" t="s">
        <v>1699</v>
      </c>
      <c r="C1335">
        <f>-105.984 -115.702</f>
        <v>-221.68599999999998</v>
      </c>
      <c r="D1335">
        <f>-131.066 -140.101</f>
        <v>-271.16700000000003</v>
      </c>
      <c r="E1335" t="s">
        <v>1700</v>
      </c>
      <c r="F1335" t="s">
        <v>888</v>
      </c>
    </row>
    <row r="1336" spans="1:6" x14ac:dyDescent="0.25">
      <c r="A1336" t="s">
        <v>1701</v>
      </c>
      <c r="B1336">
        <v>1.242604</v>
      </c>
      <c r="C1336">
        <v>-105.97199999999999</v>
      </c>
      <c r="D1336">
        <v>-133.18899999999999</v>
      </c>
      <c r="E1336">
        <v>0.63562099999999999</v>
      </c>
      <c r="F1336" t="s">
        <v>194</v>
      </c>
    </row>
    <row r="1337" spans="1:6" x14ac:dyDescent="0.25">
      <c r="A1337" t="s">
        <v>1702</v>
      </c>
      <c r="B1337">
        <v>1.185468</v>
      </c>
      <c r="C1337">
        <v>-105.968</v>
      </c>
      <c r="D1337">
        <v>-105.968</v>
      </c>
      <c r="E1337">
        <v>0.60907900000000004</v>
      </c>
      <c r="F1337" t="s">
        <v>262</v>
      </c>
    </row>
    <row r="1338" spans="1:6" x14ac:dyDescent="0.25">
      <c r="A1338" t="s">
        <v>1703</v>
      </c>
      <c r="B1338">
        <v>1.209309</v>
      </c>
      <c r="C1338">
        <v>-105.965</v>
      </c>
      <c r="D1338">
        <v>-130.81200000000001</v>
      </c>
      <c r="E1338">
        <v>0.62039699999999998</v>
      </c>
      <c r="F1338" t="s">
        <v>19</v>
      </c>
    </row>
    <row r="1339" spans="1:6" x14ac:dyDescent="0.25">
      <c r="A1339" t="s">
        <v>1704</v>
      </c>
      <c r="B1339">
        <v>1.295266</v>
      </c>
      <c r="C1339">
        <v>-105.962</v>
      </c>
      <c r="D1339">
        <v>-128.398</v>
      </c>
      <c r="E1339">
        <v>0.66723699999999997</v>
      </c>
      <c r="F1339" t="s">
        <v>26</v>
      </c>
    </row>
    <row r="1340" spans="1:6" x14ac:dyDescent="0.25">
      <c r="A1340" t="s">
        <v>1705</v>
      </c>
      <c r="B1340">
        <v>1.2594339999999999</v>
      </c>
      <c r="C1340">
        <v>-105.961</v>
      </c>
      <c r="D1340">
        <v>-132.93199999999999</v>
      </c>
      <c r="E1340">
        <v>0.64494799999999997</v>
      </c>
      <c r="F1340" t="s">
        <v>22</v>
      </c>
    </row>
    <row r="1341" spans="1:6" x14ac:dyDescent="0.25">
      <c r="A1341" t="s">
        <v>1706</v>
      </c>
      <c r="B1341">
        <v>1.230853</v>
      </c>
      <c r="C1341">
        <v>-105.958</v>
      </c>
      <c r="D1341">
        <v>-105.958</v>
      </c>
      <c r="E1341">
        <v>0.63128399999999996</v>
      </c>
      <c r="F1341" t="s">
        <v>22</v>
      </c>
    </row>
    <row r="1342" spans="1:6" x14ac:dyDescent="0.25">
      <c r="A1342" t="s">
        <v>1707</v>
      </c>
      <c r="B1342">
        <v>1.2457499999999999</v>
      </c>
      <c r="C1342">
        <v>-105.955</v>
      </c>
      <c r="D1342">
        <v>-138.91200000000001</v>
      </c>
      <c r="E1342">
        <v>0.63949699999999998</v>
      </c>
      <c r="F1342" t="s">
        <v>140</v>
      </c>
    </row>
    <row r="1343" spans="1:6" x14ac:dyDescent="0.25">
      <c r="A1343" t="s">
        <v>1708</v>
      </c>
      <c r="B1343">
        <v>1.249776</v>
      </c>
      <c r="C1343">
        <v>-105.943</v>
      </c>
      <c r="D1343">
        <v>-129.57300000000001</v>
      </c>
      <c r="E1343">
        <v>0.64110500000000004</v>
      </c>
      <c r="F1343" t="s">
        <v>57</v>
      </c>
    </row>
    <row r="1344" spans="1:6" x14ac:dyDescent="0.25">
      <c r="A1344" t="s">
        <v>1709</v>
      </c>
      <c r="B1344">
        <v>1.238078</v>
      </c>
      <c r="C1344">
        <v>-105.94199999999999</v>
      </c>
      <c r="D1344">
        <v>-129.33699999999999</v>
      </c>
      <c r="E1344">
        <v>0.64225600000000005</v>
      </c>
      <c r="F1344" t="s">
        <v>405</v>
      </c>
    </row>
    <row r="1345" spans="1:6" x14ac:dyDescent="0.25">
      <c r="A1345" t="s">
        <v>1710</v>
      </c>
      <c r="B1345">
        <v>1.253158</v>
      </c>
      <c r="C1345">
        <v>-105.937</v>
      </c>
      <c r="D1345">
        <v>-129.96799999999999</v>
      </c>
      <c r="E1345">
        <v>0.64336400000000005</v>
      </c>
      <c r="F1345" t="s">
        <v>13</v>
      </c>
    </row>
    <row r="1346" spans="1:6" x14ac:dyDescent="0.25">
      <c r="A1346" t="s">
        <v>1711</v>
      </c>
      <c r="B1346">
        <v>1.2271129999999999</v>
      </c>
      <c r="C1346">
        <v>-105.937</v>
      </c>
      <c r="D1346">
        <v>-129.697</v>
      </c>
      <c r="E1346">
        <v>0.62969900000000001</v>
      </c>
      <c r="F1346" t="s">
        <v>57</v>
      </c>
    </row>
    <row r="1347" spans="1:6" x14ac:dyDescent="0.25">
      <c r="A1347" t="s">
        <v>1712</v>
      </c>
      <c r="B1347">
        <v>1.2584919999999999</v>
      </c>
      <c r="C1347">
        <v>-105.93600000000001</v>
      </c>
      <c r="D1347">
        <v>-130.59100000000001</v>
      </c>
      <c r="E1347">
        <v>0.64449800000000002</v>
      </c>
      <c r="F1347" t="s">
        <v>11</v>
      </c>
    </row>
    <row r="1348" spans="1:6" x14ac:dyDescent="0.25">
      <c r="A1348" t="s">
        <v>1713</v>
      </c>
      <c r="B1348">
        <v>1.235128</v>
      </c>
      <c r="C1348">
        <v>-105.935</v>
      </c>
      <c r="D1348">
        <v>-130.06899999999999</v>
      </c>
      <c r="E1348">
        <v>0.63574900000000001</v>
      </c>
      <c r="F1348" t="s">
        <v>8</v>
      </c>
    </row>
    <row r="1349" spans="1:6" x14ac:dyDescent="0.25">
      <c r="A1349" t="s">
        <v>1714</v>
      </c>
      <c r="B1349">
        <v>1.191867</v>
      </c>
      <c r="C1349">
        <v>-105.93300000000001</v>
      </c>
      <c r="D1349">
        <v>-130.35599999999999</v>
      </c>
      <c r="E1349">
        <v>0.61186099999999999</v>
      </c>
      <c r="F1349" t="s">
        <v>144</v>
      </c>
    </row>
    <row r="1350" spans="1:6" x14ac:dyDescent="0.25">
      <c r="A1350" t="s">
        <v>1715</v>
      </c>
      <c r="B1350">
        <v>1.223185</v>
      </c>
      <c r="C1350">
        <v>-105.928</v>
      </c>
      <c r="D1350">
        <v>-128.38499999999999</v>
      </c>
      <c r="E1350">
        <v>0.63029100000000005</v>
      </c>
      <c r="F1350" t="s">
        <v>16</v>
      </c>
    </row>
    <row r="1351" spans="1:6" x14ac:dyDescent="0.25">
      <c r="A1351" t="s">
        <v>1716</v>
      </c>
      <c r="B1351">
        <v>1.247749</v>
      </c>
      <c r="C1351">
        <v>-105.92</v>
      </c>
      <c r="D1351">
        <v>-131.696</v>
      </c>
      <c r="E1351">
        <v>0.64159600000000006</v>
      </c>
      <c r="F1351" t="s">
        <v>22</v>
      </c>
    </row>
    <row r="1352" spans="1:6" x14ac:dyDescent="0.25">
      <c r="A1352" t="s">
        <v>1717</v>
      </c>
      <c r="B1352">
        <v>1.237179</v>
      </c>
      <c r="C1352">
        <v>-105.91200000000001</v>
      </c>
      <c r="D1352">
        <v>-129.96100000000001</v>
      </c>
      <c r="E1352">
        <v>0.63451900000000006</v>
      </c>
      <c r="F1352" t="s">
        <v>13</v>
      </c>
    </row>
    <row r="1353" spans="1:6" x14ac:dyDescent="0.25">
      <c r="A1353" t="s">
        <v>1718</v>
      </c>
      <c r="B1353" t="s">
        <v>1719</v>
      </c>
      <c r="C1353">
        <f>-105.904 -109.973</f>
        <v>-215.87700000000001</v>
      </c>
      <c r="D1353">
        <f>-129.988 -133.09</f>
        <v>-263.07799999999997</v>
      </c>
      <c r="E1353" t="s">
        <v>1720</v>
      </c>
      <c r="F1353" t="s">
        <v>187</v>
      </c>
    </row>
    <row r="1354" spans="1:6" x14ac:dyDescent="0.25">
      <c r="A1354" t="s">
        <v>1721</v>
      </c>
      <c r="B1354" t="s">
        <v>1722</v>
      </c>
      <c r="C1354">
        <f>-105.903 -106.179</f>
        <v>-212.08199999999999</v>
      </c>
      <c r="D1354">
        <f>-132.773 -130.87</f>
        <v>-263.64300000000003</v>
      </c>
      <c r="E1354" t="s">
        <v>1723</v>
      </c>
      <c r="F1354" t="s">
        <v>37</v>
      </c>
    </row>
    <row r="1355" spans="1:6" x14ac:dyDescent="0.25">
      <c r="A1355" t="s">
        <v>1724</v>
      </c>
      <c r="B1355">
        <v>1.241887</v>
      </c>
      <c r="C1355">
        <v>-105.899</v>
      </c>
      <c r="D1355">
        <v>-130.197</v>
      </c>
      <c r="E1355">
        <v>0.63520100000000002</v>
      </c>
      <c r="F1355" t="s">
        <v>26</v>
      </c>
    </row>
    <row r="1356" spans="1:6" x14ac:dyDescent="0.25">
      <c r="A1356" t="s">
        <v>1725</v>
      </c>
      <c r="B1356">
        <v>1.212059</v>
      </c>
      <c r="C1356">
        <v>-105.873</v>
      </c>
      <c r="D1356">
        <v>-129.607</v>
      </c>
      <c r="E1356">
        <v>0.62322900000000003</v>
      </c>
      <c r="F1356" t="s">
        <v>140</v>
      </c>
    </row>
    <row r="1357" spans="1:6" x14ac:dyDescent="0.25">
      <c r="A1357" t="s">
        <v>1726</v>
      </c>
      <c r="B1357" t="s">
        <v>1727</v>
      </c>
      <c r="C1357">
        <f>-105.861 -109.583</f>
        <v>-215.44400000000002</v>
      </c>
      <c r="D1357">
        <f>-131.786 -134.336</f>
        <v>-266.12200000000001</v>
      </c>
      <c r="E1357" t="s">
        <v>1728</v>
      </c>
      <c r="F1357" t="s">
        <v>77</v>
      </c>
    </row>
    <row r="1358" spans="1:6" x14ac:dyDescent="0.25">
      <c r="A1358" t="s">
        <v>1729</v>
      </c>
      <c r="B1358">
        <v>1.2428250000000001</v>
      </c>
      <c r="C1358">
        <v>-105.85599999999999</v>
      </c>
      <c r="D1358">
        <v>-130.93299999999999</v>
      </c>
      <c r="E1358">
        <v>0.63942699999999997</v>
      </c>
      <c r="F1358" t="s">
        <v>49</v>
      </c>
    </row>
    <row r="1359" spans="1:6" x14ac:dyDescent="0.25">
      <c r="A1359" t="s">
        <v>1730</v>
      </c>
      <c r="B1359">
        <v>1.18411</v>
      </c>
      <c r="C1359">
        <v>-105.85299999999999</v>
      </c>
      <c r="D1359">
        <v>-130.768</v>
      </c>
      <c r="E1359">
        <v>0.60468900000000003</v>
      </c>
      <c r="F135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AmoxapineA_forxls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Price</dc:creator>
  <cp:lastModifiedBy>Price, Louise</cp:lastModifiedBy>
  <dcterms:created xsi:type="dcterms:W3CDTF">2025-12-01T10:53:00Z</dcterms:created>
  <dcterms:modified xsi:type="dcterms:W3CDTF">2025-12-01T10:53:00Z</dcterms:modified>
</cp:coreProperties>
</file>